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ODUK" sheetId="1" r:id="rId5"/>
    <sheet state="visible" name="LB ALL PROJECT (3)" sheetId="2" r:id="rId6"/>
    <sheet state="visible" name="Perhitungan Assosiate" sheetId="3" r:id="rId7"/>
  </sheets>
  <definedNames/>
  <calcPr/>
</workbook>
</file>

<file path=xl/sharedStrings.xml><?xml version="1.0" encoding="utf-8"?>
<sst xmlns="http://schemas.openxmlformats.org/spreadsheetml/2006/main" count="778" uniqueCount="499">
  <si>
    <t>DASHBOARD</t>
  </si>
  <si>
    <t xml:space="preserve">MASTER </t>
  </si>
  <si>
    <t>COLLECTION</t>
  </si>
  <si>
    <t>ADHUM</t>
  </si>
  <si>
    <t>AHINGANI</t>
  </si>
  <si>
    <t>ANGKUS</t>
  </si>
  <si>
    <t>ARSAYA</t>
  </si>
  <si>
    <t>BASWARA</t>
  </si>
  <si>
    <t>BILLER</t>
  </si>
  <si>
    <t>DIRGAMAYA</t>
  </si>
  <si>
    <t>RAHAYU</t>
  </si>
  <si>
    <t>SAHA</t>
  </si>
  <si>
    <t>LALITA</t>
  </si>
  <si>
    <t>MEGA</t>
  </si>
  <si>
    <t>PRABAKARA</t>
  </si>
  <si>
    <t>CUSTOM</t>
  </si>
  <si>
    <t>ITEM</t>
  </si>
  <si>
    <t>KURSI MAKAN (DINING CHAIR)</t>
  </si>
  <si>
    <t>CD</t>
  </si>
  <si>
    <t>KURSI SANTAI (LOUNGE CHAIR)</t>
  </si>
  <si>
    <t>CL</t>
  </si>
  <si>
    <t>KURSI MAKAN OUTDOOR (DINING CHAIR OUTDOOR)</t>
  </si>
  <si>
    <t>OCD</t>
  </si>
  <si>
    <t>KURSI SANTAI OUTDOOR (LOUNGE CHAIR OUTDOOR)</t>
  </si>
  <si>
    <t>OCL</t>
  </si>
  <si>
    <t>KURSI SANTAI KOLAM RENANG (POOL LOUNGE OUTDOOR)</t>
  </si>
  <si>
    <t>OPL</t>
  </si>
  <si>
    <t>KURSI MEJA RIAS (DRESSING CHAIR)</t>
  </si>
  <si>
    <t>DST CH</t>
  </si>
  <si>
    <t>KURSI MEJA KERJA (WRITING DEDSK CHAIR)</t>
  </si>
  <si>
    <t>WDS CH</t>
  </si>
  <si>
    <t>MEJA MAKAN (DINING TABLE)</t>
  </si>
  <si>
    <t>DT</t>
  </si>
  <si>
    <t>MEJA RIAS (DRESSING TABLE)</t>
  </si>
  <si>
    <t>DST</t>
  </si>
  <si>
    <t>MEJA KERJA (WRITING DESK)</t>
  </si>
  <si>
    <t>WDS</t>
  </si>
  <si>
    <t>COFFEE TABLE</t>
  </si>
  <si>
    <t>CT</t>
  </si>
  <si>
    <t>SIDE TABLE</t>
  </si>
  <si>
    <t>ST</t>
  </si>
  <si>
    <t>SIDE SHELF</t>
  </si>
  <si>
    <t>MEDIA CABINET</t>
  </si>
  <si>
    <t>MC</t>
  </si>
  <si>
    <t>SIDEBOARD</t>
  </si>
  <si>
    <t>SB</t>
  </si>
  <si>
    <t>LUGGAGE TRAY</t>
  </si>
  <si>
    <t>LT</t>
  </si>
  <si>
    <t>SOFA 4 SEATER</t>
  </si>
  <si>
    <t>4SS</t>
  </si>
  <si>
    <t>SOFA 3 SEATER</t>
  </si>
  <si>
    <t>3SS</t>
  </si>
  <si>
    <t>SOFA 2 SEATER</t>
  </si>
  <si>
    <t>2SS</t>
  </si>
  <si>
    <t>SOFA 1 SEATER</t>
  </si>
  <si>
    <t>1SS</t>
  </si>
  <si>
    <t>SOFA MODULAR - ARMLESS</t>
  </si>
  <si>
    <t>MSSA</t>
  </si>
  <si>
    <t>SOFA MODULAR - CORNER</t>
  </si>
  <si>
    <t>MSSC</t>
  </si>
  <si>
    <t>SOFA MODULAR - CORNER LEFT ARM</t>
  </si>
  <si>
    <t>MSSCLA</t>
  </si>
  <si>
    <t>SOFA MODULAR - CORNER RIGHT ARM</t>
  </si>
  <si>
    <t>MSSCRA</t>
  </si>
  <si>
    <t>SOFA MODULAR - LEFT ARM</t>
  </si>
  <si>
    <t>MSSLA</t>
  </si>
  <si>
    <t>SOFA MODULAR - RIGHT ARM</t>
  </si>
  <si>
    <t>MSSRA</t>
  </si>
  <si>
    <t>SOFA 4 SEATER OTTOMAN - RIGHT ARM</t>
  </si>
  <si>
    <t>SOFA 4 SEATER OTTOMAN - LEFT ARM</t>
  </si>
  <si>
    <t>SOFA 3 SEATER - RIGHT ARM</t>
  </si>
  <si>
    <t>SOFA 3 SEATER - LEFT ARM</t>
  </si>
  <si>
    <t>SOFA 2 SEATER - RIGHT ARM</t>
  </si>
  <si>
    <t>SOFA 2 SEATER - LEFT ARM</t>
  </si>
  <si>
    <t>CUSHION SEAT FOR SOFA</t>
  </si>
  <si>
    <t>CUSH</t>
  </si>
  <si>
    <t xml:space="preserve">OTTOMAN </t>
  </si>
  <si>
    <t>OTT</t>
  </si>
  <si>
    <t>CHAISE LOUNGE</t>
  </si>
  <si>
    <t>CONSOLE</t>
  </si>
  <si>
    <t>CSL</t>
  </si>
  <si>
    <t>BENCH</t>
  </si>
  <si>
    <t>BEN</t>
  </si>
  <si>
    <t xml:space="preserve">BED </t>
  </si>
  <si>
    <t>BED</t>
  </si>
  <si>
    <t>NIGHT TABLE</t>
  </si>
  <si>
    <t>NT</t>
  </si>
  <si>
    <t>TROLLEY</t>
  </si>
  <si>
    <t>TRO</t>
  </si>
  <si>
    <t>BEAN BAG</t>
  </si>
  <si>
    <t>BB</t>
  </si>
  <si>
    <t>BOOK SHELF</t>
  </si>
  <si>
    <t>BS</t>
  </si>
  <si>
    <t>WARDROBE</t>
  </si>
  <si>
    <t>WDR</t>
  </si>
  <si>
    <t>BOOKCASE</t>
  </si>
  <si>
    <t>BC</t>
  </si>
  <si>
    <t>SHELFING</t>
  </si>
  <si>
    <t>SHEL</t>
  </si>
  <si>
    <t>LOOSE PILLOW</t>
  </si>
  <si>
    <t>LPI</t>
  </si>
  <si>
    <t>LOOSE PILLOW WITH LINING</t>
  </si>
  <si>
    <t>LPL</t>
  </si>
  <si>
    <t>PRODUK</t>
  </si>
  <si>
    <t>COLLECTION + ITEM</t>
  </si>
  <si>
    <t>QUALITY</t>
  </si>
  <si>
    <t>DELUXE</t>
  </si>
  <si>
    <t>PREMIUM</t>
  </si>
  <si>
    <t>EXCLUSIVE</t>
  </si>
  <si>
    <t>PLATINUM</t>
  </si>
  <si>
    <t>KODE KHUSUS (PROJECT)</t>
  </si>
  <si>
    <t>MASTER CUSTOMER</t>
  </si>
  <si>
    <t>NAMA CUSTOMER</t>
  </si>
  <si>
    <t>NAMA PROJECT</t>
  </si>
  <si>
    <t>DATA CUSTOMER</t>
  </si>
  <si>
    <t>ALAMAT</t>
  </si>
  <si>
    <t>NO HP</t>
  </si>
  <si>
    <t>EMAIL</t>
  </si>
  <si>
    <t xml:space="preserve">NO.NPWP </t>
  </si>
  <si>
    <t>NAMA PERUSAHAAN</t>
  </si>
  <si>
    <t>KETERANGAN</t>
  </si>
  <si>
    <t>MASTER ASSOCIATES</t>
  </si>
  <si>
    <t>NAMA ASSOCIATES</t>
  </si>
  <si>
    <t>DATA ASSOCIATES</t>
  </si>
  <si>
    <t>NO. DAN NAMA REKENING BANK</t>
  </si>
  <si>
    <t>MEASUREMENT</t>
  </si>
  <si>
    <t>PANJANG (LENGTH)</t>
  </si>
  <si>
    <t>LEBAR (WIDTH)</t>
  </si>
  <si>
    <t>TINGGI (HEIGHT)</t>
  </si>
  <si>
    <t>TINGGI DUDUKAN (SEATING HEIGHT)</t>
  </si>
  <si>
    <t>TINGGI LENGAN (ARMREST HEIGHT)</t>
  </si>
  <si>
    <t>TINGGI SANDARAN (BACK REST HEIGHT)</t>
  </si>
  <si>
    <t>TINGGI KAKI (LEG HEIGHT)</t>
  </si>
  <si>
    <t>KODE MATERIAL</t>
  </si>
  <si>
    <t>RANGKA</t>
  </si>
  <si>
    <t>KAYU JATI A</t>
  </si>
  <si>
    <t>MW1</t>
  </si>
  <si>
    <t>UPHOLSTERY SANDARAN</t>
  </si>
  <si>
    <t>KAYU JATI B</t>
  </si>
  <si>
    <t>MW2</t>
  </si>
  <si>
    <t>UPHOLSTERY DUDUKAN</t>
  </si>
  <si>
    <t>KAYU JATI C</t>
  </si>
  <si>
    <t>MW3</t>
  </si>
  <si>
    <t>KAYU SUAR</t>
  </si>
  <si>
    <t>MW4</t>
  </si>
  <si>
    <t>VENEER JATI KEMBANG</t>
  </si>
  <si>
    <t>MWV1</t>
  </si>
  <si>
    <t>VENEER JATI LURUS</t>
  </si>
  <si>
    <t>MWV2</t>
  </si>
  <si>
    <t>VENEER WHITE OAK KEMBANG</t>
  </si>
  <si>
    <t>MWV3</t>
  </si>
  <si>
    <t>VENEER WHITE OAK LURUS</t>
  </si>
  <si>
    <t>MWV4</t>
  </si>
  <si>
    <t>VENEER WALNUT KEMBANG</t>
  </si>
  <si>
    <t>MWV5</t>
  </si>
  <si>
    <t>VENEER WALNUT LURUS</t>
  </si>
  <si>
    <t>MWV6</t>
  </si>
  <si>
    <t>VENEER EBONY</t>
  </si>
  <si>
    <t>MWV7</t>
  </si>
  <si>
    <t xml:space="preserve">BRASS </t>
  </si>
  <si>
    <t>MM1</t>
  </si>
  <si>
    <t>BESI PADAT</t>
  </si>
  <si>
    <t>MM2</t>
  </si>
  <si>
    <t>BESI HOLLOW</t>
  </si>
  <si>
    <t>MM3</t>
  </si>
  <si>
    <t>KULIT SAPI ITALIA - HPL (HIGH PROTECTION LEATHER)</t>
  </si>
  <si>
    <t>ML1</t>
  </si>
  <si>
    <t>KULIT SAPI ITALIA - COMMERCIAL</t>
  </si>
  <si>
    <t>ML2</t>
  </si>
  <si>
    <t>KULIT SAPI LOKAL</t>
  </si>
  <si>
    <t>ML3</t>
  </si>
  <si>
    <t>KULIT ARTIFICIAL (ECO LEATHER )</t>
  </si>
  <si>
    <t>ML4</t>
  </si>
  <si>
    <t>KAIN ROYAL DUTCH VELVET (WSR)</t>
  </si>
  <si>
    <t>MFWSR1</t>
  </si>
  <si>
    <t>KAIN BOXER  (WSR)</t>
  </si>
  <si>
    <t>MFWSR2</t>
  </si>
  <si>
    <t>KAIN URBAN LIVING (WSR)</t>
  </si>
  <si>
    <t>MFWSR3</t>
  </si>
  <si>
    <t>KAIN NAPA (WSR)</t>
  </si>
  <si>
    <t>MFWSR4</t>
  </si>
  <si>
    <t>KAIN OSLO (WSR)</t>
  </si>
  <si>
    <t>MFWSR5</t>
  </si>
  <si>
    <t>KAIN LILY (WSR)</t>
  </si>
  <si>
    <t>MFWSR6</t>
  </si>
  <si>
    <t xml:space="preserve">KAIN </t>
  </si>
  <si>
    <t>MFWSR7</t>
  </si>
  <si>
    <t>KAIN</t>
  </si>
  <si>
    <t>MFWSR8</t>
  </si>
  <si>
    <t>MFWSR9</t>
  </si>
  <si>
    <t>KAIN SIENNA</t>
  </si>
  <si>
    <t>MF1</t>
  </si>
  <si>
    <t>KAIN REGAL</t>
  </si>
  <si>
    <t>MF2</t>
  </si>
  <si>
    <t>MF3</t>
  </si>
  <si>
    <t>MF4</t>
  </si>
  <si>
    <t>MF5</t>
  </si>
  <si>
    <t>MF6</t>
  </si>
  <si>
    <t>KAIN SUNBRELLA (OUDOOR)</t>
  </si>
  <si>
    <t>MF0UT1</t>
  </si>
  <si>
    <t>INSERT GOOSE DOWN FEATHER</t>
  </si>
  <si>
    <t>INSERT NANO FIBER</t>
  </si>
  <si>
    <t>KODE FINISHING</t>
  </si>
  <si>
    <t>NC-ROYAL BROWN MAHOGANY - G10</t>
  </si>
  <si>
    <t>FNC1</t>
  </si>
  <si>
    <t>NC-MEDIUM BROWN - G10</t>
  </si>
  <si>
    <t>FNC2</t>
  </si>
  <si>
    <t>NC-NATURAL - G10</t>
  </si>
  <si>
    <t>FNC3</t>
  </si>
  <si>
    <t xml:space="preserve">NC- </t>
  </si>
  <si>
    <t>FNC4</t>
  </si>
  <si>
    <t>WB-</t>
  </si>
  <si>
    <t>FWB1</t>
  </si>
  <si>
    <t>FWB2</t>
  </si>
  <si>
    <t>FWB3</t>
  </si>
  <si>
    <t>KODE KENYAMANAN UPHOLSTERY</t>
  </si>
  <si>
    <t>FIRM</t>
  </si>
  <si>
    <t>CFIR</t>
  </si>
  <si>
    <t>MEDIUM</t>
  </si>
  <si>
    <t>CMED</t>
  </si>
  <si>
    <t>SOFT</t>
  </si>
  <si>
    <t>CEXSO</t>
  </si>
  <si>
    <t>EXTRA SOFT</t>
  </si>
  <si>
    <t>CEXLYSO</t>
  </si>
  <si>
    <t>EXTREMELY SOFT</t>
  </si>
  <si>
    <t>MASTER DISC</t>
  </si>
  <si>
    <t>MASTER PRICING</t>
  </si>
  <si>
    <t>TIME LINE (DEADLINE)</t>
  </si>
  <si>
    <t>COST PRICE</t>
  </si>
  <si>
    <t>NO</t>
  </si>
  <si>
    <t>PIC / UP</t>
  </si>
  <si>
    <t>NAMA PRODUCT</t>
  </si>
  <si>
    <t>UKURAN (MM)</t>
  </si>
  <si>
    <t>MATERIAL</t>
  </si>
  <si>
    <t>QTY</t>
  </si>
  <si>
    <t>PRICE /UNIT</t>
  </si>
  <si>
    <t>TOTAL</t>
  </si>
  <si>
    <t>DISCOUNT</t>
  </si>
  <si>
    <t>PPN 11%</t>
  </si>
  <si>
    <t>(PRICE FOR CUST) HARGA DEAL</t>
  </si>
  <si>
    <t>HARGA</t>
  </si>
  <si>
    <t>VENDOR</t>
  </si>
  <si>
    <t>NAMA ITEM</t>
  </si>
  <si>
    <t>HARGA TOTAL</t>
  </si>
  <si>
    <t>DP 50% / DP 70% / DP 80%</t>
  </si>
  <si>
    <t>PELUNASAN 100%</t>
  </si>
  <si>
    <t>VENDOR FABRIC</t>
  </si>
  <si>
    <t>VENDOR ACCESSORIES UPHOLSTERY (BAHAN MATERIAL)</t>
  </si>
  <si>
    <t xml:space="preserve">VENDOR KULIT </t>
  </si>
  <si>
    <t>VENDOR BUSA</t>
  </si>
  <si>
    <t>VENDOR  MATERIAL RANGKA (BAHAN)</t>
  </si>
  <si>
    <t>VENDOR  MATERIAL RANGKA (JASA)</t>
  </si>
  <si>
    <t>VENDOR  MATERIAL HARDWARE (BAHAN)</t>
  </si>
  <si>
    <t>VENDOR PEMBUAT RANGKA PRODUK</t>
  </si>
  <si>
    <t>VENDOR JAHIT SARUNG BANTAL / JAHIT INSERT (JASA)</t>
  </si>
  <si>
    <t>VENDOR PEMBUAT UPHOLSTERY</t>
  </si>
  <si>
    <t>VENDOR MATERIAL FINISHING (BAHAN)</t>
  </si>
  <si>
    <t>VENDOR FINISHING (JASA)</t>
  </si>
  <si>
    <t>VENDOR ROTAN (JASA)</t>
  </si>
  <si>
    <t>VENDOR PEMBUAT BUILT IN</t>
  </si>
  <si>
    <t>VENDOR GORDEN</t>
  </si>
  <si>
    <t>KOMISI 3,5-10%</t>
  </si>
  <si>
    <t>VENDOR UPAH / CUCI SOFA/TEKNISI</t>
  </si>
  <si>
    <t>DELIVERY</t>
  </si>
  <si>
    <t>BIAYA LAIN LAIN</t>
  </si>
  <si>
    <t>BIAYA AKOMODASI+PPN</t>
  </si>
  <si>
    <t>VENDOR DRAFTER</t>
  </si>
  <si>
    <t>COST OPERASIONAL MJ 15%</t>
  </si>
  <si>
    <t>TOTAL BAYAR</t>
  </si>
  <si>
    <t xml:space="preserve">NET PROFIT </t>
  </si>
  <si>
    <t>TANGGAL MULAI PRODUKSI</t>
  </si>
  <si>
    <t>SELESAI</t>
  </si>
  <si>
    <t>GARANSI 6 BULAN</t>
  </si>
  <si>
    <t>WARRANTY 2 TAHUN</t>
  </si>
  <si>
    <t>NAMA REFFERAL/ASSOCIATES</t>
  </si>
  <si>
    <t>NO KTP</t>
  </si>
  <si>
    <t>NO NPWP</t>
  </si>
  <si>
    <t>NO REK</t>
  </si>
  <si>
    <t>NO QUOT</t>
  </si>
  <si>
    <t>PER METER</t>
  </si>
  <si>
    <t>METER</t>
  </si>
  <si>
    <t>SUBKON MATERIAL + JASA</t>
  </si>
  <si>
    <t>AMARDEEP</t>
  </si>
  <si>
    <t>ISTANA KANCING</t>
  </si>
  <si>
    <t>MBTECH</t>
  </si>
  <si>
    <t>ROYAL FOAM</t>
  </si>
  <si>
    <t>KAYU JATI</t>
  </si>
  <si>
    <t>PAK JOKO BOJONEGORO</t>
  </si>
  <si>
    <t>RATNA</t>
  </si>
  <si>
    <t>PAK SUHARTO</t>
  </si>
  <si>
    <t>BIO JEPARA</t>
  </si>
  <si>
    <t>PAK TAUFIK - FINISHED</t>
  </si>
  <si>
    <t>MAISAROH</t>
  </si>
  <si>
    <t>PT.CKB</t>
  </si>
  <si>
    <t>TUKIMAN</t>
  </si>
  <si>
    <t>DESIGNER</t>
  </si>
  <si>
    <t>SENUR</t>
  </si>
  <si>
    <t>LALAMOVE</t>
  </si>
  <si>
    <t>BENSIN</t>
  </si>
  <si>
    <t>HOTEL</t>
  </si>
  <si>
    <t>GABRIEL</t>
  </si>
  <si>
    <t>SHELVY</t>
  </si>
  <si>
    <t>ANDY</t>
  </si>
  <si>
    <t>SEWA RUKO</t>
  </si>
  <si>
    <t>NO INV</t>
  </si>
  <si>
    <t>PER KUBIK</t>
  </si>
  <si>
    <t>KUBIK</t>
  </si>
  <si>
    <t>SUBKON JASA</t>
  </si>
  <si>
    <t>IDEFAB</t>
  </si>
  <si>
    <t>KAIN TAFETA</t>
  </si>
  <si>
    <t>MASTROTTO</t>
  </si>
  <si>
    <t>URECEL FOAM</t>
  </si>
  <si>
    <t>BAHAN VENEER</t>
  </si>
  <si>
    <t>JASA VENEER</t>
  </si>
  <si>
    <t>KAKI SOFA</t>
  </si>
  <si>
    <t>PAK KUSNANDAR</t>
  </si>
  <si>
    <t>ASEP</t>
  </si>
  <si>
    <t>BUDI JOK JEPARA</t>
  </si>
  <si>
    <t>PT.INDASA (SIRCA)</t>
  </si>
  <si>
    <t>POLES KUNINGAN</t>
  </si>
  <si>
    <t>KYRA - OKY BUNTORO</t>
  </si>
  <si>
    <t>KONTRAKTOR</t>
  </si>
  <si>
    <t>DDEN</t>
  </si>
  <si>
    <t>GOSEND</t>
  </si>
  <si>
    <t>TOL</t>
  </si>
  <si>
    <t>AKKOMODASI</t>
  </si>
  <si>
    <t>STAFF ADMIN</t>
  </si>
  <si>
    <t>PER PIECE</t>
  </si>
  <si>
    <t>VIEW</t>
  </si>
  <si>
    <t>PO STANDAR</t>
  </si>
  <si>
    <t>SERBA ANTIK</t>
  </si>
  <si>
    <t>ANTISLIP</t>
  </si>
  <si>
    <t>DD PILLOW</t>
  </si>
  <si>
    <t>PAK HAJI BESI</t>
  </si>
  <si>
    <t>SWIVEL</t>
  </si>
  <si>
    <t>MAS AZIS</t>
  </si>
  <si>
    <t>LINA D</t>
  </si>
  <si>
    <t>MMT</t>
  </si>
  <si>
    <t>KERTASIVE - IMEYDA</t>
  </si>
  <si>
    <t>ASSOCIATES</t>
  </si>
  <si>
    <t>KANTOR POS</t>
  </si>
  <si>
    <t>TEKNISI PASANG</t>
  </si>
  <si>
    <t>PER LEMBAR</t>
  </si>
  <si>
    <t>M2</t>
  </si>
  <si>
    <t>PURNAMA CANDRA</t>
  </si>
  <si>
    <t>ISI BANTAL TOKPED</t>
  </si>
  <si>
    <t>PAK BUDI BESI JEPARA</t>
  </si>
  <si>
    <t>NUSAMULTI</t>
  </si>
  <si>
    <t>PAK GIYONO</t>
  </si>
  <si>
    <t>USMAN</t>
  </si>
  <si>
    <t>PLAT BESI</t>
  </si>
  <si>
    <t>KERTANEGARA 23</t>
  </si>
  <si>
    <t>TRISDIANSAH</t>
  </si>
  <si>
    <t>PACKAGING</t>
  </si>
  <si>
    <t>KAIN LOKAL JEPARA</t>
  </si>
  <si>
    <t>AKAR JATI-EMMA BLORA</t>
  </si>
  <si>
    <t>YANE/ABADI KLENDER</t>
  </si>
  <si>
    <t>PAK YONO</t>
  </si>
  <si>
    <t>BESI JEPARA</t>
  </si>
  <si>
    <t>FELIX</t>
  </si>
  <si>
    <t>ARIPIN</t>
  </si>
  <si>
    <t>TEKNISI RAKIT</t>
  </si>
  <si>
    <t>TOKO KAIN LOKAL</t>
  </si>
  <si>
    <t>ABADI SERPONG</t>
  </si>
  <si>
    <t>PAK NGARWI JUWANA</t>
  </si>
  <si>
    <t>FERDINAND</t>
  </si>
  <si>
    <t>TEKNISI SERVICE</t>
  </si>
  <si>
    <t>INDOFITTING</t>
  </si>
  <si>
    <t>MAS AAN</t>
  </si>
  <si>
    <t>MULTIPLEK</t>
  </si>
  <si>
    <t>PAK EDI - SUAR</t>
  </si>
  <si>
    <t>ROTAN</t>
  </si>
  <si>
    <t>CV.MEBEL</t>
  </si>
  <si>
    <t>JOKO 7SEVEN</t>
  </si>
  <si>
    <t>MARMER - DANUS</t>
  </si>
  <si>
    <t>JUNO HOME</t>
  </si>
  <si>
    <t>PAK NANO JEPARA</t>
  </si>
  <si>
    <t>CV.JAYA RATTAN</t>
  </si>
  <si>
    <t>PANJANG</t>
  </si>
  <si>
    <t>LEBAR</t>
  </si>
  <si>
    <t>TINGGI</t>
  </si>
  <si>
    <t>TINGGI DUDUKAN</t>
  </si>
  <si>
    <t>TINGGI LENGAN</t>
  </si>
  <si>
    <t>TINGGI SANDARAN</t>
  </si>
  <si>
    <t>TINGGI KAKI</t>
  </si>
  <si>
    <t>UPLHOLSTERY DUDUKAN</t>
  </si>
  <si>
    <t>UPHOLSTERY COMFORTNESS</t>
  </si>
  <si>
    <t>FINISHING</t>
  </si>
  <si>
    <t>KAKI SOFA - FAUZI</t>
  </si>
  <si>
    <t>SILVIA GUNAWAN</t>
  </si>
  <si>
    <t>IMAN</t>
  </si>
  <si>
    <t>USMAN/REGY FIN</t>
  </si>
  <si>
    <t>QUOT001/I/MJ/25.</t>
  </si>
  <si>
    <t>3 BEDROOM VILLA AKASHA BALI (MOCK UP)</t>
  </si>
  <si>
    <t>PT.KSO</t>
  </si>
  <si>
    <t>IMRON LOMAN</t>
  </si>
  <si>
    <t>Jl. Subak Sari No.13, Tibubeneng, Kec. Kuta Utara, Kabupaten Badung, Bali 80361</t>
  </si>
  <si>
    <t>KSO@GMAIL.COM</t>
  </si>
  <si>
    <t xml:space="preserve">DINING TABLE </t>
  </si>
  <si>
    <t>TOP+BASE VENEER JATI</t>
  </si>
  <si>
    <t>OPEN PORE HALUS DARK WALNUT G10</t>
  </si>
  <si>
    <t>CKB</t>
  </si>
  <si>
    <t>PRODUKSI MEJA</t>
  </si>
  <si>
    <t>PC</t>
  </si>
  <si>
    <t>SUBKON MATERIAL+JASA (SAMPAI JADI)</t>
  </si>
  <si>
    <t>SVASHTA HOME</t>
  </si>
  <si>
    <t>BDSVASHTAHOME@GMAIL.COM</t>
  </si>
  <si>
    <t>RUKO 92 AVENIX TANGERANG</t>
  </si>
  <si>
    <t xml:space="preserve"> </t>
  </si>
  <si>
    <t xml:space="preserve">PRABAKARA </t>
  </si>
  <si>
    <t>DINING ARM CHAIR</t>
  </si>
  <si>
    <t xml:space="preserve">KAYU JATI </t>
  </si>
  <si>
    <t>BOXER 4242-21</t>
  </si>
  <si>
    <t>KUSNANDAR</t>
  </si>
  <si>
    <t>PRODUKSI RANGKA MENTAH</t>
  </si>
  <si>
    <t>PCS</t>
  </si>
  <si>
    <t>SUBKON MATERIAL+JASA (SETENGAH JADI)</t>
  </si>
  <si>
    <t>FINISHING TAUFIK</t>
  </si>
  <si>
    <t>JASA FINISHING</t>
  </si>
  <si>
    <t>SUBKON JASA (SAMPAI JADI)</t>
  </si>
  <si>
    <t>SUMBER - SUHARTO</t>
  </si>
  <si>
    <t>JASA PEMBUATAN JOK</t>
  </si>
  <si>
    <t>SUBKON MATERIAL+JASA (MATERIAL KAIN DAN BUSA DARI SAYA) SAMPAI JADI</t>
  </si>
  <si>
    <t>KAIN BOXER 4242-21</t>
  </si>
  <si>
    <t>KURSI  SANTAI OUTDOOR</t>
  </si>
  <si>
    <t>BLACK WATERBASED</t>
  </si>
  <si>
    <t>AAN</t>
  </si>
  <si>
    <t xml:space="preserve"> PRODUKSI RANGKA MENTAH</t>
  </si>
  <si>
    <t>KU132-001 (WSR).</t>
  </si>
  <si>
    <t>MATERIAL : KAIN KASA DIBAGIAN BAWAH + KAIN ANTI SLIP</t>
  </si>
  <si>
    <t>BUDI  JOKJEPARA</t>
  </si>
  <si>
    <t>PRODUKSI RANGKA</t>
  </si>
  <si>
    <t>OTTOMAN</t>
  </si>
  <si>
    <t>URECEL</t>
  </si>
  <si>
    <t>BUSA RBD NF D40</t>
  </si>
  <si>
    <t>LEMBAR</t>
  </si>
  <si>
    <t xml:space="preserve">BUSA VE50-60 </t>
  </si>
  <si>
    <t xml:space="preserve">KAIN KU132-001 </t>
  </si>
  <si>
    <t>TOKPED JOVITA</t>
  </si>
  <si>
    <t>GULUNG</t>
  </si>
  <si>
    <t>KAI N ANTI SLIP</t>
  </si>
  <si>
    <t>MEDIUM BROWN SUNGKAI ON TEAK 2 LAYER+OIL TC (WATERBASE).</t>
  </si>
  <si>
    <t>LIVING ROOM</t>
  </si>
  <si>
    <t>EMMA BLORA</t>
  </si>
  <si>
    <t>JASA QC+KOMPONEN+FINISHING+PACKING</t>
  </si>
  <si>
    <t>STOOL</t>
  </si>
  <si>
    <t xml:space="preserve"> MEDIUM BROWN SUNGKAI ON TEAK 2 LAYER+OIL TC (WATERBASE).</t>
  </si>
  <si>
    <t>EDI SUAR</t>
  </si>
  <si>
    <t>STOOL WITH HOLE</t>
  </si>
  <si>
    <t xml:space="preserve">BAGIAN ATAS MEDIUM BROWN SUNGKAI ON TEAK 2 LAYER+OIL TC (WATERBASE). </t>
  </si>
  <si>
    <t>BAGIAN BAWAH BLACK BROWN.</t>
  </si>
  <si>
    <t>KU131-001</t>
  </si>
  <si>
    <t>BEDROOM 1 DAN 2</t>
  </si>
  <si>
    <t>KAIN KU131-001</t>
  </si>
  <si>
    <t>ARMCHAIR WITH ROTAN</t>
  </si>
  <si>
    <t>BEDROOM 3</t>
  </si>
  <si>
    <t>MAISAROH - MMT</t>
  </si>
  <si>
    <t xml:space="preserve">JASA ANYAM ROTAN </t>
  </si>
  <si>
    <t>MEJA KERJA</t>
  </si>
  <si>
    <t>KURSI MEJA KERJA</t>
  </si>
  <si>
    <t>BEDROOM 2+BEDROOM 3</t>
  </si>
  <si>
    <t>CHAISE LONG</t>
  </si>
  <si>
    <t>KU132-001</t>
  </si>
  <si>
    <t>BUDI BESI JEPARA</t>
  </si>
  <si>
    <t>PRODUKSI PLAT BESI</t>
  </si>
  <si>
    <t>SUBKON MATERIAL+JASA</t>
  </si>
  <si>
    <t>PRODUKSI KAKI JATI</t>
  </si>
  <si>
    <t xml:space="preserve">MEJA RIAS </t>
  </si>
  <si>
    <t>MARBLE ON TOP</t>
  </si>
  <si>
    <t>DANUS</t>
  </si>
  <si>
    <t>PRODUKSI MARBLE</t>
  </si>
  <si>
    <t>SUN 5455-0000</t>
  </si>
  <si>
    <t>OUTDOOR</t>
  </si>
  <si>
    <t>PRODUKSI CUSHION QDF</t>
  </si>
  <si>
    <t>SET</t>
  </si>
  <si>
    <t>KAIN KASA DIBAGIAN BAWAH.</t>
  </si>
  <si>
    <t>KAIN SUN 5455-0000</t>
  </si>
  <si>
    <t>BIAYA TEKNISI INSTALASI</t>
  </si>
  <si>
    <t>SETELAH CUSTOMER/CLIENT DEAL HARGA DAN PRODUK YANG DIPESAN</t>
  </si>
  <si>
    <t>MAKA LANJUT KE PEMBUATAN INVOICE UNTUK MENAGIH DP</t>
  </si>
  <si>
    <t>INV001/II/MJ/25.</t>
  </si>
  <si>
    <t>P</t>
  </si>
  <si>
    <t>(28/02/2025)</t>
  </si>
  <si>
    <t>SETELAH UANG DP 50% MASUK KE REK (CUST/CLIENT BAYAR DP)</t>
  </si>
  <si>
    <t xml:space="preserve">MAKA LANJUT KE PEMBUATAN SPK (PO) KE MASING2 VENDOR </t>
  </si>
  <si>
    <t>KWITANSI001/II/MJ/25.</t>
  </si>
  <si>
    <t>DALAM PROSES PEMBUATAN PRODUK OLEH VENDOR, QC DILAKUKAN LEWAT WA GROUP</t>
  </si>
  <si>
    <t>SETELAH BARANG SELESAI DIBUAT</t>
  </si>
  <si>
    <t>MAKA LANJUT KE PENGIRIMAN BARANG DARI VENDOR / MIRJOV KE CUST/CLIENT</t>
  </si>
  <si>
    <t>SEBELUM KIRIM BIASA BUAT TAGIHAN UNTUK PELUNASAN BARANG/PRODUK YANG DIPESAN</t>
  </si>
  <si>
    <t>INV001/IV/MJ/25.</t>
  </si>
  <si>
    <t>(18/04/2025)</t>
  </si>
  <si>
    <t xml:space="preserve">SKENARIO 1 = TIDAK ADA PPN </t>
  </si>
  <si>
    <t>TOTAL SO</t>
  </si>
  <si>
    <t>BIAYA KIRIM</t>
  </si>
  <si>
    <t>TOTAL SO POTONG BIAYA KIRIM</t>
  </si>
  <si>
    <t>FEE 3%</t>
  </si>
  <si>
    <t>SKENARIO 2 = JIKA ADA PPN 11%</t>
  </si>
  <si>
    <t>TOTAL SO POTONG BIAYA KIRIM &amp; PPN11%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</si>
</sst>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p&quot;* #,##0_-;\-&quot;Rp&quot;* #,##0_-;_-&quot;Rp&quot;* &quot;-&quot;_-;_-@"/>
    <numFmt numFmtId="165" formatCode="_(* #,##0_);_(* \(#,##0\);_(* &quot;-&quot;??_);_(@_)"/>
    <numFmt numFmtId="166" formatCode="[$Rp   -421]#,##0\ "/>
    <numFmt numFmtId="167" formatCode="[$Rp-421]\ \ #,##0"/>
    <numFmt numFmtId="168" formatCode="_-* #,##0_-;\-* #,##0_-;_-* &quot;-&quot;_-;_-@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/>
    <font>
      <b/>
      <sz val="12.0"/>
      <color theme="1"/>
      <name val="Calibri"/>
    </font>
    <font>
      <b/>
      <sz val="12.0"/>
      <color theme="0"/>
      <name val="Calibri"/>
    </font>
    <font>
      <sz val="11.0"/>
      <color rgb="FF1F1F1F"/>
      <name val="Arial"/>
    </font>
    <font>
      <u/>
      <sz val="11.0"/>
      <color theme="10"/>
      <name val="Calibri"/>
    </font>
    <font>
      <sz val="16.0"/>
      <color theme="1"/>
      <name val="Noto Sans Symbols"/>
    </font>
    <font>
      <sz val="16.0"/>
      <color theme="1"/>
      <name val="Calibri"/>
    </font>
    <font>
      <b/>
      <sz val="14.0"/>
      <color theme="1"/>
      <name val="Calibri"/>
    </font>
    <font>
      <u/>
      <sz val="11.0"/>
      <color theme="10"/>
      <name val="Calibri"/>
    </font>
    <font>
      <sz val="16.0"/>
      <color rgb="FFFF0000"/>
      <name val="Calibri"/>
    </font>
    <font>
      <sz val="26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DADADA"/>
        <bgColor rgb="FFDADADA"/>
      </patternFill>
    </fill>
    <fill>
      <patternFill patternType="solid">
        <fgColor rgb="FF00B050"/>
        <bgColor rgb="FF00B050"/>
      </patternFill>
    </fill>
    <fill>
      <patternFill patternType="solid">
        <fgColor theme="7"/>
        <bgColor theme="7"/>
      </patternFill>
    </fill>
    <fill>
      <patternFill patternType="solid">
        <fgColor rgb="FF595959"/>
        <bgColor rgb="FF595959"/>
      </patternFill>
    </fill>
    <fill>
      <patternFill patternType="solid">
        <fgColor rgb="FF00B0F0"/>
        <bgColor rgb="FF00B0F0"/>
      </patternFill>
    </fill>
  </fills>
  <borders count="3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2" fillId="5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5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1" fillId="6" fontId="2" numFmtId="0" xfId="0" applyAlignment="1" applyBorder="1" applyFill="1" applyFont="1">
      <alignment horizontal="center" vertical="center"/>
    </xf>
    <xf borderId="11" fillId="6" fontId="2" numFmtId="0" xfId="0" applyAlignment="1" applyBorder="1" applyFont="1">
      <alignment horizontal="center" shrinkToFit="0" vertical="center" wrapText="1"/>
    </xf>
    <xf borderId="12" fillId="7" fontId="2" numFmtId="0" xfId="0" applyAlignment="1" applyBorder="1" applyFill="1" applyFont="1">
      <alignment horizontal="center" vertical="center"/>
    </xf>
    <xf borderId="13" fillId="6" fontId="2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5" fillId="0" fontId="5" numFmtId="0" xfId="0" applyBorder="1" applyFont="1"/>
    <xf borderId="1" fillId="8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11" fillId="10" fontId="7" numFmtId="0" xfId="0" applyAlignment="1" applyBorder="1" applyFill="1" applyFont="1">
      <alignment horizontal="center" shrinkToFit="0" vertical="center" wrapText="1"/>
    </xf>
    <xf borderId="11" fillId="10" fontId="7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shrinkToFit="0" vertical="center" wrapText="1"/>
    </xf>
    <xf borderId="17" fillId="3" fontId="1" numFmtId="0" xfId="0" applyAlignment="1" applyBorder="1" applyFont="1">
      <alignment horizontal="center" vertical="center"/>
    </xf>
    <xf borderId="18" fillId="6" fontId="2" numFmtId="0" xfId="0" applyAlignment="1" applyBorder="1" applyFont="1">
      <alignment horizontal="center" vertical="center"/>
    </xf>
    <xf borderId="19" fillId="7" fontId="2" numFmtId="0" xfId="0" applyAlignment="1" applyBorder="1" applyFont="1">
      <alignment horizontal="center" vertical="center"/>
    </xf>
    <xf borderId="19" fillId="6" fontId="2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7" fillId="9" fontId="2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shrinkToFit="0" vertical="center" wrapText="1"/>
    </xf>
    <xf borderId="1" fillId="10" fontId="7" numFmtId="164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20" fillId="6" fontId="2" numFmtId="0" xfId="0" applyAlignment="1" applyBorder="1" applyFont="1">
      <alignment horizontal="center" vertical="center"/>
    </xf>
    <xf borderId="21" fillId="6" fontId="2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vertical="center"/>
    </xf>
    <xf borderId="23" fillId="3" fontId="1" numFmtId="0" xfId="0" applyAlignment="1" applyBorder="1" applyFont="1">
      <alignment horizontal="center" vertical="center"/>
    </xf>
    <xf borderId="21" fillId="7" fontId="2" numFmtId="0" xfId="0" applyAlignment="1" applyBorder="1" applyFont="1">
      <alignment horizontal="center" vertical="center"/>
    </xf>
    <xf borderId="21" fillId="6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23" fillId="9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right" vertical="center"/>
    </xf>
    <xf borderId="0" fillId="0" fontId="2" numFmtId="0" xfId="0" applyAlignment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1" fontId="1" numFmtId="0" xfId="0" applyAlignment="1" applyBorder="1" applyFont="1">
      <alignment vertical="center"/>
    </xf>
    <xf borderId="1" fillId="11" fontId="3" numFmtId="0" xfId="0" applyAlignment="1" applyBorder="1" applyFont="1">
      <alignment vertical="center"/>
    </xf>
    <xf borderId="1" fillId="11" fontId="2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" fillId="2" fontId="6" numFmtId="165" xfId="0" applyAlignment="1" applyBorder="1" applyFont="1" applyNumberFormat="1">
      <alignment vertical="center"/>
    </xf>
    <xf borderId="1" fillId="3" fontId="1" numFmtId="165" xfId="0" applyAlignment="1" applyBorder="1" applyFont="1" applyNumberFormat="1">
      <alignment vertical="center"/>
    </xf>
    <xf borderId="1" fillId="4" fontId="2" numFmtId="165" xfId="0" applyAlignment="1" applyBorder="1" applyFont="1" applyNumberFormat="1">
      <alignment vertical="center"/>
    </xf>
    <xf borderId="1" fillId="4" fontId="10" numFmtId="0" xfId="0" applyAlignment="1" applyBorder="1" applyFont="1">
      <alignment horizontal="center" vertical="center"/>
    </xf>
    <xf borderId="1" fillId="6" fontId="11" numFmtId="165" xfId="0" applyAlignment="1" applyBorder="1" applyFont="1" applyNumberFormat="1">
      <alignment vertical="center"/>
    </xf>
    <xf borderId="1" fillId="6" fontId="11" numFmtId="0" xfId="0" applyAlignment="1" applyBorder="1" applyFont="1">
      <alignment vertical="center"/>
    </xf>
    <xf borderId="1" fillId="6" fontId="1" numFmtId="0" xfId="0" applyAlignment="1" applyBorder="1" applyFont="1">
      <alignment vertical="center"/>
    </xf>
    <xf borderId="1" fillId="6" fontId="11" numFmtId="166" xfId="0" applyAlignment="1" applyBorder="1" applyFont="1" applyNumberFormat="1">
      <alignment horizontal="center" vertical="center"/>
    </xf>
    <xf borderId="1" fillId="6" fontId="11" numFmtId="167" xfId="0" applyAlignment="1" applyBorder="1" applyFont="1" applyNumberFormat="1">
      <alignment vertical="center"/>
    </xf>
    <xf borderId="1" fillId="9" fontId="12" numFmtId="166" xfId="0" applyAlignment="1" applyBorder="1" applyFont="1" applyNumberFormat="1">
      <alignment vertical="center"/>
    </xf>
    <xf borderId="0" fillId="0" fontId="1" numFmtId="15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1" fillId="4" fontId="2" numFmtId="166" xfId="0" applyAlignment="1" applyBorder="1" applyFont="1" applyNumberFormat="1">
      <alignment horizontal="right" vertical="center"/>
    </xf>
    <xf borderId="1" fillId="3" fontId="1" numFmtId="168" xfId="0" applyAlignment="1" applyBorder="1" applyFont="1" applyNumberFormat="1">
      <alignment vertical="center"/>
    </xf>
    <xf borderId="1" fillId="6" fontId="14" numFmtId="165" xfId="0" applyAlignment="1" applyBorder="1" applyFont="1" applyNumberFormat="1">
      <alignment vertical="center"/>
    </xf>
    <xf borderId="1" fillId="6" fontId="11" numFmtId="165" xfId="0" applyAlignment="1" applyBorder="1" applyFont="1" applyNumberFormat="1">
      <alignment horizontal="center" vertical="center"/>
    </xf>
    <xf borderId="0" fillId="0" fontId="12" numFmtId="166" xfId="0" applyAlignment="1" applyFont="1" applyNumberFormat="1">
      <alignment vertical="center"/>
    </xf>
    <xf borderId="1" fillId="2" fontId="3" numFmtId="165" xfId="0" applyAlignment="1" applyBorder="1" applyFont="1" applyNumberFormat="1">
      <alignment vertical="center"/>
    </xf>
    <xf quotePrefix="1" borderId="0" fillId="0" fontId="1" numFmtId="0" xfId="0" applyAlignment="1" applyFont="1">
      <alignment vertical="center"/>
    </xf>
    <xf borderId="1" fillId="3" fontId="1" numFmtId="165" xfId="0" applyAlignment="1" applyBorder="1" applyFont="1" applyNumberFormat="1">
      <alignment horizontal="right" vertical="center"/>
    </xf>
    <xf borderId="0" fillId="0" fontId="15" numFmtId="0" xfId="0" applyAlignment="1" applyFont="1">
      <alignment horizontal="left" vertical="center"/>
    </xf>
    <xf borderId="0" fillId="0" fontId="16" numFmtId="0" xfId="0" applyFont="1"/>
    <xf borderId="24" fillId="0" fontId="16" numFmtId="0" xfId="0" applyBorder="1" applyFont="1"/>
    <xf borderId="25" fillId="0" fontId="16" numFmtId="0" xfId="0" applyBorder="1" applyFont="1"/>
    <xf borderId="26" fillId="0" fontId="17" numFmtId="0" xfId="0" applyBorder="1" applyFont="1"/>
    <xf borderId="27" fillId="0" fontId="17" numFmtId="165" xfId="0" applyBorder="1" applyFont="1" applyNumberFormat="1"/>
    <xf borderId="0" fillId="0" fontId="17" numFmtId="0" xfId="0" applyFont="1"/>
    <xf borderId="26" fillId="0" fontId="17" numFmtId="165" xfId="0" applyBorder="1" applyFont="1" applyNumberFormat="1"/>
    <xf borderId="0" fillId="0" fontId="17" numFmtId="165" xfId="0" applyFont="1" applyNumberFormat="1"/>
    <xf borderId="26" fillId="0" fontId="18" numFmtId="165" xfId="0" applyBorder="1" applyFont="1" applyNumberFormat="1"/>
    <xf borderId="27" fillId="0" fontId="18" numFmtId="165" xfId="0" applyBorder="1" applyFont="1" applyNumberFormat="1"/>
    <xf borderId="27" fillId="0" fontId="17" numFmtId="0" xfId="0" applyBorder="1" applyFont="1"/>
    <xf borderId="28" fillId="0" fontId="16" numFmtId="0" xfId="0" applyBorder="1" applyFont="1"/>
    <xf borderId="29" fillId="0" fontId="16" numFmtId="0" xfId="0" applyBorder="1" applyFont="1"/>
    <xf borderId="24" fillId="0" fontId="17" numFmtId="0" xfId="0" applyBorder="1" applyFont="1"/>
    <xf borderId="26" fillId="0" fontId="16" numFmtId="0" xfId="0" applyBorder="1" applyFont="1"/>
    <xf borderId="27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SO@GMAIL.COM" TargetMode="External"/><Relationship Id="rId2" Type="http://schemas.openxmlformats.org/officeDocument/2006/relationships/hyperlink" Target="mailto:BDSVASHTAHOME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5.71"/>
    <col customWidth="1" min="3" max="3" width="4.71"/>
    <col customWidth="1" min="4" max="4" width="32.71"/>
    <col customWidth="1" min="5" max="5" width="65.71"/>
    <col customWidth="1" min="6" max="26" width="8.86"/>
  </cols>
  <sheetData>
    <row r="1" ht="14.25" customHeight="1">
      <c r="A1" s="1" t="s">
        <v>0</v>
      </c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 t="s">
        <v>1</v>
      </c>
      <c r="C3" s="2">
        <v>1.0</v>
      </c>
      <c r="D3" s="3" t="s">
        <v>2</v>
      </c>
      <c r="E3" s="1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2"/>
      <c r="D4" s="3"/>
      <c r="E4" s="1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2"/>
      <c r="D5" s="3"/>
      <c r="E5" s="1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2"/>
      <c r="D6" s="3"/>
      <c r="E6" s="1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2"/>
      <c r="D7" s="3"/>
      <c r="E7" s="1" t="s">
        <v>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2"/>
      <c r="D8" s="3"/>
      <c r="E8" s="1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2"/>
      <c r="D9" s="3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2"/>
      <c r="D10" s="3"/>
      <c r="E10" s="1" t="s">
        <v>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2"/>
      <c r="D11" s="3"/>
      <c r="E11" s="1" t="s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2"/>
      <c r="D12" s="3"/>
      <c r="E12" s="1" t="s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2"/>
      <c r="D13" s="3"/>
      <c r="E13" s="1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2"/>
      <c r="D14" s="3"/>
      <c r="E14" s="1" t="s">
        <v>14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2"/>
      <c r="D15" s="3"/>
      <c r="E15" s="1" t="s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2">
        <v>2.0</v>
      </c>
      <c r="D17" s="3" t="s">
        <v>16</v>
      </c>
      <c r="E17" s="1" t="s">
        <v>17</v>
      </c>
      <c r="F17" s="1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2"/>
      <c r="D18" s="3"/>
      <c r="E18" s="1" t="s">
        <v>19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2"/>
      <c r="D19" s="3"/>
      <c r="E19" s="1" t="s">
        <v>21</v>
      </c>
      <c r="F19" s="1" t="s">
        <v>22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2"/>
      <c r="D20" s="3"/>
      <c r="E20" s="1" t="s">
        <v>23</v>
      </c>
      <c r="F20" s="1" t="s">
        <v>24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2"/>
      <c r="D21" s="3"/>
      <c r="E21" s="1" t="s">
        <v>25</v>
      </c>
      <c r="F21" s="1" t="s">
        <v>26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2"/>
      <c r="D22" s="3"/>
      <c r="E22" s="1" t="s">
        <v>27</v>
      </c>
      <c r="F22" s="1" t="s">
        <v>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2"/>
      <c r="D23" s="3"/>
      <c r="E23" s="1" t="s">
        <v>29</v>
      </c>
      <c r="F23" s="1" t="s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2"/>
      <c r="D24" s="3"/>
      <c r="E24" s="1" t="s">
        <v>31</v>
      </c>
      <c r="F24" s="1" t="s">
        <v>32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2"/>
      <c r="D25" s="3"/>
      <c r="E25" s="1" t="s">
        <v>33</v>
      </c>
      <c r="F25" s="1" t="s">
        <v>34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2"/>
      <c r="D26" s="3"/>
      <c r="E26" s="1" t="s">
        <v>35</v>
      </c>
      <c r="F26" s="1" t="s">
        <v>36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2"/>
      <c r="D27" s="3"/>
      <c r="E27" s="1" t="s">
        <v>37</v>
      </c>
      <c r="F27" s="1" t="s">
        <v>38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2"/>
      <c r="D28" s="3"/>
      <c r="E28" s="1" t="s">
        <v>39</v>
      </c>
      <c r="F28" s="1" t="s">
        <v>40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2"/>
      <c r="D29" s="3"/>
      <c r="E29" s="1" t="s">
        <v>41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2"/>
      <c r="D30" s="3"/>
      <c r="E30" s="1" t="s">
        <v>42</v>
      </c>
      <c r="F30" s="1" t="s">
        <v>43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2"/>
      <c r="D31" s="3"/>
      <c r="E31" s="1" t="s">
        <v>44</v>
      </c>
      <c r="F31" s="1" t="s">
        <v>45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2"/>
      <c r="D32" s="3"/>
      <c r="E32" s="1" t="s">
        <v>46</v>
      </c>
      <c r="F32" s="1" t="s">
        <v>47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2"/>
      <c r="D33" s="3"/>
      <c r="E33" s="1" t="s">
        <v>48</v>
      </c>
      <c r="F33" s="1" t="s">
        <v>49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2"/>
      <c r="D34" s="3"/>
      <c r="E34" s="1" t="s">
        <v>50</v>
      </c>
      <c r="F34" s="1" t="s">
        <v>51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2"/>
      <c r="D35" s="3"/>
      <c r="E35" s="1" t="s">
        <v>52</v>
      </c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2"/>
      <c r="D36" s="3"/>
      <c r="E36" s="1" t="s">
        <v>54</v>
      </c>
      <c r="F36" s="1" t="s">
        <v>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2"/>
      <c r="D37" s="3"/>
      <c r="E37" s="1" t="s">
        <v>56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2"/>
      <c r="D38" s="3"/>
      <c r="E38" s="1" t="s">
        <v>58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2"/>
      <c r="D39" s="3"/>
      <c r="E39" s="1" t="s">
        <v>60</v>
      </c>
      <c r="F39" s="1" t="s">
        <v>61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2"/>
      <c r="D40" s="3"/>
      <c r="E40" s="1" t="s">
        <v>62</v>
      </c>
      <c r="F40" s="1" t="s">
        <v>63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2"/>
      <c r="D41" s="3"/>
      <c r="E41" s="1" t="s">
        <v>64</v>
      </c>
      <c r="F41" s="1" t="s">
        <v>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2"/>
      <c r="D42" s="3"/>
      <c r="E42" s="1" t="s">
        <v>66</v>
      </c>
      <c r="F42" s="1" t="s">
        <v>67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2"/>
      <c r="D43" s="3"/>
      <c r="E43" s="1" t="s">
        <v>68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2"/>
      <c r="D44" s="3"/>
      <c r="E44" s="1" t="s">
        <v>69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2"/>
      <c r="D45" s="3"/>
      <c r="E45" s="1" t="s">
        <v>70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2"/>
      <c r="D46" s="3"/>
      <c r="E46" s="1" t="s">
        <v>71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2"/>
      <c r="D47" s="3"/>
      <c r="E47" s="1" t="s">
        <v>72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2"/>
      <c r="D48" s="3"/>
      <c r="E48" s="1" t="s">
        <v>73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2"/>
      <c r="D49" s="3"/>
      <c r="E49" s="1" t="s">
        <v>74</v>
      </c>
      <c r="F49" s="1" t="s">
        <v>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2"/>
      <c r="D50" s="3"/>
      <c r="E50" s="1" t="s">
        <v>76</v>
      </c>
      <c r="F50" s="1" t="s">
        <v>77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2"/>
      <c r="D51" s="3"/>
      <c r="E51" s="1" t="s">
        <v>78</v>
      </c>
      <c r="F51" s="1" t="s">
        <v>20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2"/>
      <c r="D52" s="3"/>
      <c r="E52" s="1" t="s">
        <v>79</v>
      </c>
      <c r="F52" s="1" t="s">
        <v>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2"/>
      <c r="D53" s="3"/>
      <c r="E53" s="1" t="s">
        <v>81</v>
      </c>
      <c r="F53" s="1" t="s">
        <v>82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2"/>
      <c r="D54" s="3"/>
      <c r="E54" s="1" t="s">
        <v>83</v>
      </c>
      <c r="F54" s="1" t="s">
        <v>84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2"/>
      <c r="D55" s="3"/>
      <c r="E55" s="1" t="s">
        <v>85</v>
      </c>
      <c r="F55" s="1" t="s">
        <v>86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2"/>
      <c r="D56" s="3"/>
      <c r="E56" s="1" t="s">
        <v>87</v>
      </c>
      <c r="F56" s="1" t="s">
        <v>88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2"/>
      <c r="D57" s="3"/>
      <c r="E57" s="1" t="s">
        <v>89</v>
      </c>
      <c r="F57" s="1" t="s">
        <v>90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2"/>
      <c r="D58" s="3"/>
      <c r="E58" s="1" t="s">
        <v>91</v>
      </c>
      <c r="F58" s="1" t="s">
        <v>92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2"/>
      <c r="D59" s="3"/>
      <c r="E59" s="1" t="s">
        <v>93</v>
      </c>
      <c r="F59" s="1" t="s">
        <v>94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2"/>
      <c r="D60" s="3"/>
      <c r="E60" s="1" t="s">
        <v>95</v>
      </c>
      <c r="F60" s="1" t="s">
        <v>96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2"/>
      <c r="D61" s="3"/>
      <c r="E61" s="1" t="s">
        <v>97</v>
      </c>
      <c r="F61" s="1" t="s">
        <v>98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2"/>
      <c r="D62" s="3"/>
      <c r="E62" s="1" t="s">
        <v>99</v>
      </c>
      <c r="F62" s="1" t="s">
        <v>100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2"/>
      <c r="D63" s="3"/>
      <c r="E63" s="1" t="s">
        <v>101</v>
      </c>
      <c r="F63" s="1" t="s">
        <v>102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2"/>
      <c r="D65" s="3" t="s">
        <v>103</v>
      </c>
      <c r="E65" s="1" t="s">
        <v>104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2"/>
      <c r="D67" s="1" t="s">
        <v>105</v>
      </c>
      <c r="E67" s="1" t="s">
        <v>106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2"/>
      <c r="D68" s="1"/>
      <c r="E68" s="1" t="s">
        <v>107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2"/>
      <c r="D69" s="1"/>
      <c r="E69" s="1" t="s">
        <v>108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2"/>
      <c r="D70" s="3"/>
      <c r="E70" s="1" t="s">
        <v>109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3" t="s">
        <v>110</v>
      </c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 t="s">
        <v>111</v>
      </c>
      <c r="C75" s="2"/>
      <c r="D75" s="3" t="s">
        <v>112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2"/>
      <c r="D76" s="3" t="s">
        <v>113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2"/>
      <c r="D77" s="3" t="s">
        <v>114</v>
      </c>
      <c r="E77" s="1" t="s">
        <v>115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2"/>
      <c r="D78" s="3"/>
      <c r="E78" s="1" t="s">
        <v>116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2"/>
      <c r="D79" s="3"/>
      <c r="E79" s="1" t="s">
        <v>117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2"/>
      <c r="D80" s="3"/>
      <c r="E80" s="1" t="s">
        <v>118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2"/>
      <c r="D81" s="3"/>
      <c r="E81" s="1" t="s">
        <v>119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2"/>
      <c r="D82" s="3"/>
      <c r="E82" s="1" t="s">
        <v>120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 t="s">
        <v>121</v>
      </c>
      <c r="C84" s="2"/>
      <c r="D84" s="3" t="s">
        <v>122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2"/>
      <c r="D85" s="3" t="s">
        <v>113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2"/>
      <c r="D86" s="3" t="s">
        <v>123</v>
      </c>
      <c r="E86" s="1" t="s">
        <v>115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2"/>
      <c r="D87" s="3"/>
      <c r="E87" s="1" t="s">
        <v>116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2"/>
      <c r="D88" s="3"/>
      <c r="E88" s="1" t="s">
        <v>117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2"/>
      <c r="D89" s="3"/>
      <c r="E89" s="1" t="s">
        <v>118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2"/>
      <c r="D90" s="3"/>
      <c r="E90" s="1" t="s">
        <v>119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2"/>
      <c r="D91" s="3"/>
      <c r="E91" s="1" t="s">
        <v>124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2"/>
      <c r="D92" s="3"/>
      <c r="E92" s="1" t="s">
        <v>120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 t="s">
        <v>125</v>
      </c>
      <c r="C94" s="2"/>
      <c r="D94" s="3" t="s">
        <v>126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2"/>
      <c r="D95" s="3" t="s">
        <v>127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2"/>
      <c r="D96" s="3" t="s">
        <v>128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2"/>
      <c r="D97" s="3" t="s">
        <v>129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2"/>
      <c r="D98" s="3" t="s">
        <v>130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2"/>
      <c r="D99" s="3" t="s">
        <v>131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2"/>
      <c r="D100" s="3" t="s">
        <v>132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4" t="s">
        <v>133</v>
      </c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3" t="s">
        <v>134</v>
      </c>
      <c r="C103" s="2"/>
      <c r="D103" s="3" t="s">
        <v>135</v>
      </c>
      <c r="E103" s="1" t="s">
        <v>136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3" t="s">
        <v>137</v>
      </c>
      <c r="C104" s="2"/>
      <c r="D104" s="3" t="s">
        <v>138</v>
      </c>
      <c r="E104" s="1" t="s">
        <v>139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3" t="s">
        <v>140</v>
      </c>
      <c r="C105" s="2"/>
      <c r="D105" s="3" t="s">
        <v>141</v>
      </c>
      <c r="E105" s="1" t="s">
        <v>142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3"/>
      <c r="C106" s="2"/>
      <c r="D106" s="3" t="s">
        <v>143</v>
      </c>
      <c r="E106" s="1" t="s">
        <v>144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3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3"/>
      <c r="C108" s="2"/>
      <c r="D108" s="3" t="s">
        <v>145</v>
      </c>
      <c r="E108" s="1" t="s">
        <v>146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3"/>
      <c r="C109" s="2"/>
      <c r="D109" s="3" t="s">
        <v>147</v>
      </c>
      <c r="E109" s="1" t="s">
        <v>148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3"/>
      <c r="C110" s="2"/>
      <c r="D110" s="3" t="s">
        <v>149</v>
      </c>
      <c r="E110" s="1" t="s">
        <v>150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3"/>
      <c r="C111" s="2"/>
      <c r="D111" s="3" t="s">
        <v>151</v>
      </c>
      <c r="E111" s="1" t="s">
        <v>152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3"/>
      <c r="C112" s="2"/>
      <c r="D112" s="3" t="s">
        <v>153</v>
      </c>
      <c r="E112" s="1" t="s">
        <v>154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3"/>
      <c r="C113" s="2"/>
      <c r="D113" s="3" t="s">
        <v>155</v>
      </c>
      <c r="E113" s="1" t="s">
        <v>156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3"/>
      <c r="C114" s="2"/>
      <c r="D114" s="3" t="s">
        <v>157</v>
      </c>
      <c r="E114" s="1" t="s">
        <v>158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3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3"/>
      <c r="C116" s="2"/>
      <c r="D116" s="3" t="s">
        <v>159</v>
      </c>
      <c r="E116" s="1" t="s">
        <v>160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3"/>
      <c r="C117" s="2"/>
      <c r="D117" s="3" t="s">
        <v>161</v>
      </c>
      <c r="E117" s="1" t="s">
        <v>162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3"/>
      <c r="C118" s="2"/>
      <c r="D118" s="3" t="s">
        <v>163</v>
      </c>
      <c r="E118" s="1" t="s">
        <v>164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58.5" customHeight="1">
      <c r="A119" s="1"/>
      <c r="B119" s="3"/>
      <c r="C119" s="2"/>
      <c r="D119" s="3" t="s">
        <v>165</v>
      </c>
      <c r="E119" s="1" t="s">
        <v>166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3"/>
      <c r="C120" s="2"/>
      <c r="D120" s="3" t="s">
        <v>167</v>
      </c>
      <c r="E120" s="1" t="s">
        <v>168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3"/>
      <c r="C121" s="2"/>
      <c r="D121" s="3" t="s">
        <v>169</v>
      </c>
      <c r="E121" s="1" t="s">
        <v>170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3"/>
      <c r="C122" s="2"/>
      <c r="D122" s="3" t="s">
        <v>171</v>
      </c>
      <c r="E122" s="1" t="s">
        <v>172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3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3"/>
      <c r="C124" s="2"/>
      <c r="D124" s="3" t="s">
        <v>173</v>
      </c>
      <c r="E124" s="1" t="s">
        <v>174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3"/>
      <c r="C125" s="2"/>
      <c r="D125" s="3" t="s">
        <v>175</v>
      </c>
      <c r="E125" s="1" t="s">
        <v>176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3"/>
      <c r="C126" s="2"/>
      <c r="D126" s="3" t="s">
        <v>177</v>
      </c>
      <c r="E126" s="1" t="s">
        <v>178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3"/>
      <c r="C127" s="2"/>
      <c r="D127" s="3" t="s">
        <v>179</v>
      </c>
      <c r="E127" s="1" t="s">
        <v>180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3"/>
      <c r="C128" s="2"/>
      <c r="D128" s="3" t="s">
        <v>181</v>
      </c>
      <c r="E128" s="1" t="s">
        <v>182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3"/>
      <c r="C129" s="2"/>
      <c r="D129" s="3" t="s">
        <v>183</v>
      </c>
      <c r="E129" s="1" t="s">
        <v>184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3"/>
      <c r="C130" s="2"/>
      <c r="D130" s="3" t="s">
        <v>185</v>
      </c>
      <c r="E130" s="1" t="s">
        <v>186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3"/>
      <c r="C131" s="2"/>
      <c r="D131" s="3" t="s">
        <v>187</v>
      </c>
      <c r="E131" s="1" t="s">
        <v>188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3"/>
      <c r="C132" s="2"/>
      <c r="D132" s="3" t="s">
        <v>187</v>
      </c>
      <c r="E132" s="1" t="s">
        <v>189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3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3"/>
      <c r="C134" s="2"/>
      <c r="D134" s="3" t="s">
        <v>190</v>
      </c>
      <c r="E134" s="1" t="s">
        <v>191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3"/>
      <c r="C135" s="2"/>
      <c r="D135" s="3" t="s">
        <v>192</v>
      </c>
      <c r="E135" s="1" t="s">
        <v>193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3"/>
      <c r="C136" s="2"/>
      <c r="D136" s="3"/>
      <c r="E136" s="1" t="s">
        <v>194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3"/>
      <c r="C137" s="2"/>
      <c r="D137" s="3"/>
      <c r="E137" s="1" t="s">
        <v>195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3"/>
      <c r="C138" s="2"/>
      <c r="D138" s="3"/>
      <c r="E138" s="1" t="s">
        <v>196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3"/>
      <c r="C139" s="2"/>
      <c r="D139" s="3"/>
      <c r="E139" s="1" t="s">
        <v>197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3"/>
      <c r="C140" s="2"/>
      <c r="D140" s="3" t="s">
        <v>198</v>
      </c>
      <c r="E140" s="1" t="s">
        <v>199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3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3"/>
      <c r="C142" s="2"/>
      <c r="D142" s="3" t="s">
        <v>200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3"/>
      <c r="C143" s="2"/>
      <c r="D143" s="3" t="s">
        <v>201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3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3" t="s">
        <v>202</v>
      </c>
      <c r="C145" s="2"/>
      <c r="D145" s="3" t="s">
        <v>203</v>
      </c>
      <c r="E145" s="1" t="s">
        <v>204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2"/>
      <c r="D146" s="3" t="s">
        <v>205</v>
      </c>
      <c r="E146" s="1" t="s">
        <v>206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2"/>
      <c r="D147" s="3" t="s">
        <v>207</v>
      </c>
      <c r="E147" s="1" t="s">
        <v>208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2"/>
      <c r="D148" s="3" t="s">
        <v>209</v>
      </c>
      <c r="E148" s="1" t="s">
        <v>210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2"/>
      <c r="D150" s="3" t="s">
        <v>211</v>
      </c>
      <c r="E150" s="1" t="s">
        <v>212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2"/>
      <c r="D151" s="3" t="s">
        <v>211</v>
      </c>
      <c r="E151" s="1" t="s">
        <v>213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2"/>
      <c r="D152" s="3" t="s">
        <v>211</v>
      </c>
      <c r="E152" s="1" t="s">
        <v>214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3" t="s">
        <v>215</v>
      </c>
      <c r="C154" s="2"/>
      <c r="D154" s="3" t="s">
        <v>216</v>
      </c>
      <c r="E154" s="1" t="s">
        <v>217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2"/>
      <c r="D155" s="3" t="s">
        <v>218</v>
      </c>
      <c r="E155" s="1" t="s">
        <v>219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2"/>
      <c r="D156" s="3" t="s">
        <v>220</v>
      </c>
      <c r="E156" s="1" t="s">
        <v>221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2"/>
      <c r="D157" s="3" t="s">
        <v>222</v>
      </c>
      <c r="E157" s="1" t="s">
        <v>223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2"/>
      <c r="D158" s="3" t="s">
        <v>224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 t="s">
        <v>225</v>
      </c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 t="s">
        <v>226</v>
      </c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 t="s">
        <v>227</v>
      </c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rowBreaks count="1" manualBreakCount="1">
    <brk id="9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AF6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22.57"/>
    <col customWidth="1" min="5" max="5" width="16.14"/>
    <col customWidth="1" min="6" max="8" width="30.43"/>
    <col customWidth="1" min="9" max="11" width="27.57"/>
    <col customWidth="1" min="12" max="16" width="15.0"/>
    <col customWidth="1" min="17" max="17" width="18.29"/>
    <col customWidth="1" min="18" max="23" width="15.0"/>
    <col customWidth="1" min="24" max="24" width="38.29"/>
    <col customWidth="1" min="25" max="25" width="37.86"/>
    <col customWidth="1" min="26" max="26" width="7.14"/>
    <col customWidth="1" min="27" max="27" width="18.71"/>
    <col customWidth="1" min="28" max="28" width="15.71"/>
    <col customWidth="1" min="29" max="32" width="17.29"/>
    <col customWidth="1" min="33" max="33" width="21.0"/>
    <col customWidth="1" min="34" max="34" width="22.14"/>
    <col customWidth="1" min="35" max="35" width="32.29"/>
    <col customWidth="1" min="36" max="36" width="10.43"/>
    <col customWidth="1" min="37" max="37" width="12.86"/>
    <col customWidth="1" min="38" max="38" width="22.14"/>
    <col customWidth="1" min="39" max="39" width="84.43"/>
    <col customWidth="1" min="40" max="40" width="16.43"/>
    <col customWidth="1" min="41" max="41" width="7.14"/>
    <col customWidth="1" min="42" max="42" width="16.43"/>
    <col customWidth="1" min="43" max="43" width="6.43"/>
    <col customWidth="1" min="44" max="44" width="22.71"/>
    <col customWidth="1" min="45" max="45" width="20.86"/>
    <col customWidth="1" min="46" max="46" width="21.29"/>
    <col customWidth="1" min="47" max="47" width="21.57"/>
    <col customWidth="1" min="48" max="49" width="22.71"/>
    <col customWidth="1" min="50" max="50" width="20.71"/>
    <col customWidth="1" min="51" max="51" width="22.71"/>
    <col customWidth="1" min="52" max="52" width="20.14"/>
    <col customWidth="1" min="53" max="54" width="24.14"/>
    <col customWidth="1" min="55" max="56" width="21.29"/>
    <col customWidth="1" min="57" max="57" width="29.43"/>
    <col customWidth="1" min="58" max="59" width="21.71"/>
    <col customWidth="1" min="60" max="60" width="26.29"/>
    <col customWidth="1" min="61" max="61" width="26.14"/>
    <col customWidth="1" min="62" max="62" width="21.29"/>
    <col customWidth="1" min="63" max="63" width="20.14"/>
    <col customWidth="1" min="64" max="64" width="21.29"/>
    <col customWidth="1" min="65" max="65" width="20.14"/>
    <col customWidth="1" min="66" max="66" width="19.86"/>
    <col customWidth="1" min="67" max="67" width="18.57"/>
    <col customWidth="1" min="68" max="68" width="23.86"/>
    <col customWidth="1" min="69" max="69" width="24.43"/>
    <col customWidth="1" min="70" max="70" width="21.14"/>
    <col customWidth="1" min="71" max="71" width="17.86"/>
    <col customWidth="1" min="72" max="72" width="15.29"/>
    <col customWidth="1" min="73" max="73" width="13.86"/>
    <col customWidth="1" min="74" max="74" width="13.14"/>
    <col customWidth="1" min="75" max="76" width="21.14"/>
    <col customWidth="1" min="77" max="77" width="29.71"/>
    <col customWidth="1" min="78" max="78" width="24.86"/>
    <col customWidth="1" min="79" max="79" width="27.71"/>
    <col customWidth="1" min="80" max="80" width="22.71"/>
    <col customWidth="1" min="81" max="81" width="15.14"/>
    <col customWidth="1" min="82" max="82" width="17.71"/>
    <col customWidth="1" min="83" max="85" width="8.71"/>
  </cols>
  <sheetData>
    <row r="1">
      <c r="A1" s="2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5"/>
      <c r="AD1" s="5"/>
      <c r="AE1" s="5"/>
      <c r="AF1" s="5"/>
      <c r="AG1" s="6"/>
      <c r="AH1" s="6"/>
      <c r="AI1" s="6"/>
      <c r="AJ1" s="7"/>
      <c r="AK1" s="7"/>
      <c r="AL1" s="6"/>
      <c r="AM1" s="6"/>
      <c r="AN1" s="8"/>
      <c r="AO1" s="8"/>
      <c r="AP1" s="8"/>
      <c r="AQ1" s="8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9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25.5" customHeight="1">
      <c r="A2" s="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/>
      <c r="AD2" s="5"/>
      <c r="AE2" s="5"/>
      <c r="AF2" s="5"/>
      <c r="AG2" s="6"/>
      <c r="AH2" s="6"/>
      <c r="AI2" s="6"/>
      <c r="AJ2" s="7"/>
      <c r="AK2" s="7"/>
      <c r="AL2" s="6"/>
      <c r="AM2" s="6"/>
      <c r="AN2" s="8"/>
      <c r="AO2" s="8"/>
      <c r="AP2" s="8"/>
      <c r="AQ2" s="8"/>
      <c r="AR2" s="10" t="s">
        <v>228</v>
      </c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2"/>
      <c r="BQ2" s="1"/>
      <c r="BR2" s="9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ht="21.75" customHeight="1">
      <c r="A3" s="2"/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/>
      <c r="AD3" s="5"/>
      <c r="AE3" s="5"/>
      <c r="AF3" s="5"/>
      <c r="AG3" s="6"/>
      <c r="AH3" s="6"/>
      <c r="AI3" s="6"/>
      <c r="AJ3" s="7"/>
      <c r="AK3" s="7"/>
      <c r="AL3" s="6"/>
      <c r="AM3" s="6"/>
      <c r="AN3" s="8"/>
      <c r="AO3" s="8"/>
      <c r="AP3" s="8"/>
      <c r="AQ3" s="8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"/>
      <c r="BR3" s="9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ht="64.5" customHeight="1">
      <c r="A4" s="14" t="s">
        <v>229</v>
      </c>
      <c r="B4" s="14"/>
      <c r="C4" s="14" t="s">
        <v>113</v>
      </c>
      <c r="D4" s="14" t="s">
        <v>119</v>
      </c>
      <c r="E4" s="14" t="s">
        <v>230</v>
      </c>
      <c r="F4" s="14" t="s">
        <v>115</v>
      </c>
      <c r="G4" s="14" t="s">
        <v>117</v>
      </c>
      <c r="H4" s="14" t="s">
        <v>116</v>
      </c>
      <c r="I4" s="15" t="s">
        <v>231</v>
      </c>
      <c r="J4" s="16"/>
      <c r="K4" s="17"/>
      <c r="L4" s="15" t="s">
        <v>232</v>
      </c>
      <c r="M4" s="16"/>
      <c r="N4" s="16"/>
      <c r="O4" s="16"/>
      <c r="P4" s="16"/>
      <c r="Q4" s="16"/>
      <c r="R4" s="17"/>
      <c r="S4" s="15" t="s">
        <v>233</v>
      </c>
      <c r="T4" s="16"/>
      <c r="U4" s="16"/>
      <c r="V4" s="16"/>
      <c r="W4" s="16"/>
      <c r="X4" s="17"/>
      <c r="Y4" s="14" t="s">
        <v>120</v>
      </c>
      <c r="Z4" s="14" t="s">
        <v>234</v>
      </c>
      <c r="AA4" s="14" t="s">
        <v>235</v>
      </c>
      <c r="AB4" s="14" t="s">
        <v>236</v>
      </c>
      <c r="AC4" s="18" t="s">
        <v>236</v>
      </c>
      <c r="AD4" s="18" t="s">
        <v>237</v>
      </c>
      <c r="AE4" s="18" t="s">
        <v>238</v>
      </c>
      <c r="AF4" s="19" t="s">
        <v>239</v>
      </c>
      <c r="AG4" s="20" t="s">
        <v>240</v>
      </c>
      <c r="AH4" s="21" t="s">
        <v>241</v>
      </c>
      <c r="AI4" s="21" t="s">
        <v>242</v>
      </c>
      <c r="AJ4" s="20" t="s">
        <v>234</v>
      </c>
      <c r="AK4" s="20"/>
      <c r="AL4" s="21" t="s">
        <v>243</v>
      </c>
      <c r="AM4" s="20" t="s">
        <v>120</v>
      </c>
      <c r="AN4" s="22" t="s">
        <v>244</v>
      </c>
      <c r="AO4" s="23"/>
      <c r="AP4" s="22" t="s">
        <v>245</v>
      </c>
      <c r="AQ4" s="23"/>
      <c r="AR4" s="24" t="s">
        <v>246</v>
      </c>
      <c r="AS4" s="25" t="s">
        <v>247</v>
      </c>
      <c r="AT4" s="25" t="s">
        <v>248</v>
      </c>
      <c r="AU4" s="25" t="s">
        <v>249</v>
      </c>
      <c r="AV4" s="25" t="s">
        <v>250</v>
      </c>
      <c r="AW4" s="25" t="s">
        <v>251</v>
      </c>
      <c r="AX4" s="25" t="s">
        <v>252</v>
      </c>
      <c r="AY4" s="25" t="s">
        <v>253</v>
      </c>
      <c r="AZ4" s="25" t="s">
        <v>254</v>
      </c>
      <c r="BA4" s="25" t="s">
        <v>255</v>
      </c>
      <c r="BB4" s="25" t="s">
        <v>256</v>
      </c>
      <c r="BC4" s="25" t="s">
        <v>257</v>
      </c>
      <c r="BD4" s="25" t="s">
        <v>258</v>
      </c>
      <c r="BE4" s="25" t="s">
        <v>259</v>
      </c>
      <c r="BF4" s="24"/>
      <c r="BG4" s="25" t="s">
        <v>260</v>
      </c>
      <c r="BH4" s="26" t="s">
        <v>261</v>
      </c>
      <c r="BI4" s="25" t="s">
        <v>262</v>
      </c>
      <c r="BJ4" s="25" t="s">
        <v>263</v>
      </c>
      <c r="BK4" s="25" t="s">
        <v>264</v>
      </c>
      <c r="BL4" s="25" t="s">
        <v>265</v>
      </c>
      <c r="BM4" s="27" t="s">
        <v>266</v>
      </c>
      <c r="BN4" s="28"/>
      <c r="BO4" s="29"/>
      <c r="BP4" s="30" t="s">
        <v>267</v>
      </c>
      <c r="BQ4" s="31" t="s">
        <v>268</v>
      </c>
      <c r="BR4" s="32" t="s">
        <v>269</v>
      </c>
      <c r="BS4" s="33" t="s">
        <v>270</v>
      </c>
      <c r="BT4" s="33" t="s">
        <v>271</v>
      </c>
      <c r="BU4" s="33" t="s">
        <v>272</v>
      </c>
      <c r="BV4" s="34" t="s">
        <v>273</v>
      </c>
      <c r="BW4" s="35" t="s">
        <v>274</v>
      </c>
      <c r="BX4" s="35" t="s">
        <v>119</v>
      </c>
      <c r="BY4" s="35" t="s">
        <v>117</v>
      </c>
      <c r="BZ4" s="2" t="s">
        <v>116</v>
      </c>
      <c r="CA4" s="2" t="s">
        <v>115</v>
      </c>
      <c r="CB4" s="2" t="s">
        <v>275</v>
      </c>
      <c r="CC4" s="2" t="s">
        <v>276</v>
      </c>
      <c r="CD4" s="2" t="s">
        <v>277</v>
      </c>
      <c r="CE4" s="2"/>
      <c r="CF4" s="2"/>
      <c r="CG4" s="2"/>
    </row>
    <row r="5" ht="19.5" customHeight="1">
      <c r="A5" s="36"/>
      <c r="B5" s="36" t="s">
        <v>278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7"/>
      <c r="AD5" s="37"/>
      <c r="AE5" s="37"/>
      <c r="AF5" s="37"/>
      <c r="AG5" s="38" t="s">
        <v>279</v>
      </c>
      <c r="AH5" s="38"/>
      <c r="AI5" s="38"/>
      <c r="AJ5" s="39" t="s">
        <v>280</v>
      </c>
      <c r="AK5" s="39"/>
      <c r="AL5" s="38"/>
      <c r="AM5" s="39" t="s">
        <v>281</v>
      </c>
      <c r="AN5" s="23"/>
      <c r="AO5" s="23"/>
      <c r="AP5" s="23"/>
      <c r="AQ5" s="23"/>
      <c r="AR5" s="24" t="s">
        <v>282</v>
      </c>
      <c r="AS5" s="24" t="s">
        <v>283</v>
      </c>
      <c r="AT5" s="24" t="s">
        <v>284</v>
      </c>
      <c r="AU5" s="24" t="s">
        <v>285</v>
      </c>
      <c r="AV5" s="24" t="s">
        <v>286</v>
      </c>
      <c r="AW5" s="24"/>
      <c r="AX5" s="24"/>
      <c r="AY5" s="24" t="s">
        <v>287</v>
      </c>
      <c r="AZ5" s="24" t="s">
        <v>288</v>
      </c>
      <c r="BA5" s="40" t="s">
        <v>289</v>
      </c>
      <c r="BB5" s="40" t="s">
        <v>290</v>
      </c>
      <c r="BC5" s="24" t="s">
        <v>291</v>
      </c>
      <c r="BD5" s="24" t="s">
        <v>292</v>
      </c>
      <c r="BE5" s="24" t="s">
        <v>293</v>
      </c>
      <c r="BF5" s="24"/>
      <c r="BG5" s="40" t="s">
        <v>294</v>
      </c>
      <c r="BH5" s="41" t="s">
        <v>295</v>
      </c>
      <c r="BI5" s="42" t="s">
        <v>296</v>
      </c>
      <c r="BJ5" s="25" t="s">
        <v>297</v>
      </c>
      <c r="BK5" s="25" t="s">
        <v>298</v>
      </c>
      <c r="BL5" s="25" t="s">
        <v>299</v>
      </c>
      <c r="BM5" s="25" t="s">
        <v>300</v>
      </c>
      <c r="BN5" s="25" t="s">
        <v>301</v>
      </c>
      <c r="BO5" s="25" t="s">
        <v>302</v>
      </c>
      <c r="BP5" s="30" t="s">
        <v>303</v>
      </c>
      <c r="BQ5" s="43"/>
      <c r="BR5" s="44"/>
      <c r="BS5" s="45"/>
      <c r="BT5" s="45"/>
      <c r="BU5" s="45"/>
      <c r="BV5" s="46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</row>
    <row r="6" ht="19.5" customHeight="1">
      <c r="A6" s="36"/>
      <c r="B6" s="36" t="s">
        <v>304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7"/>
      <c r="AD6" s="37"/>
      <c r="AE6" s="37"/>
      <c r="AF6" s="37"/>
      <c r="AG6" s="38" t="s">
        <v>305</v>
      </c>
      <c r="AH6" s="38"/>
      <c r="AI6" s="38"/>
      <c r="AJ6" s="39" t="s">
        <v>306</v>
      </c>
      <c r="AK6" s="39"/>
      <c r="AL6" s="38"/>
      <c r="AM6" s="39" t="s">
        <v>307</v>
      </c>
      <c r="AN6" s="23"/>
      <c r="AO6" s="23"/>
      <c r="AP6" s="23"/>
      <c r="AQ6" s="23"/>
      <c r="AR6" s="24" t="s">
        <v>308</v>
      </c>
      <c r="AS6" s="24" t="s">
        <v>309</v>
      </c>
      <c r="AT6" s="24" t="s">
        <v>310</v>
      </c>
      <c r="AU6" s="24" t="s">
        <v>311</v>
      </c>
      <c r="AV6" s="24" t="s">
        <v>312</v>
      </c>
      <c r="AW6" s="24" t="s">
        <v>313</v>
      </c>
      <c r="AX6" s="24" t="s">
        <v>314</v>
      </c>
      <c r="AY6" s="24" t="s">
        <v>315</v>
      </c>
      <c r="AZ6" s="24" t="s">
        <v>316</v>
      </c>
      <c r="BA6" s="24" t="s">
        <v>317</v>
      </c>
      <c r="BB6" s="24" t="s">
        <v>318</v>
      </c>
      <c r="BC6" s="24" t="s">
        <v>319</v>
      </c>
      <c r="BD6" s="24"/>
      <c r="BE6" s="24" t="s">
        <v>320</v>
      </c>
      <c r="BF6" s="24"/>
      <c r="BG6" s="31"/>
      <c r="BH6" s="41" t="s">
        <v>321</v>
      </c>
      <c r="BI6" s="42" t="s">
        <v>322</v>
      </c>
      <c r="BJ6" s="25" t="s">
        <v>323</v>
      </c>
      <c r="BK6" s="25" t="s">
        <v>324</v>
      </c>
      <c r="BL6" s="25" t="s">
        <v>325</v>
      </c>
      <c r="BM6" s="47"/>
      <c r="BN6" s="47"/>
      <c r="BO6" s="47"/>
      <c r="BP6" s="30" t="s">
        <v>326</v>
      </c>
      <c r="BQ6" s="43"/>
      <c r="BR6" s="44"/>
      <c r="BS6" s="45"/>
      <c r="BT6" s="45"/>
      <c r="BU6" s="45"/>
      <c r="BV6" s="46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</row>
    <row r="7" ht="19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7"/>
      <c r="AD7" s="37"/>
      <c r="AE7" s="37"/>
      <c r="AF7" s="37"/>
      <c r="AG7" s="38" t="s">
        <v>327</v>
      </c>
      <c r="AH7" s="38"/>
      <c r="AI7" s="38"/>
      <c r="AJ7" s="39" t="s">
        <v>328</v>
      </c>
      <c r="AK7" s="39"/>
      <c r="AL7" s="38"/>
      <c r="AM7" s="39" t="s">
        <v>329</v>
      </c>
      <c r="AN7" s="23"/>
      <c r="AO7" s="23"/>
      <c r="AP7" s="23"/>
      <c r="AQ7" s="23"/>
      <c r="AR7" s="24" t="s">
        <v>330</v>
      </c>
      <c r="AS7" s="24" t="s">
        <v>331</v>
      </c>
      <c r="AT7" s="48"/>
      <c r="AU7" s="24" t="s">
        <v>332</v>
      </c>
      <c r="AV7" s="24" t="s">
        <v>333</v>
      </c>
      <c r="AW7" s="24"/>
      <c r="AX7" s="24" t="s">
        <v>334</v>
      </c>
      <c r="AY7" s="24" t="s">
        <v>335</v>
      </c>
      <c r="AZ7" s="24" t="s">
        <v>336</v>
      </c>
      <c r="BA7" s="24"/>
      <c r="BB7" s="24"/>
      <c r="BC7" s="24" t="s">
        <v>337</v>
      </c>
      <c r="BD7" s="24"/>
      <c r="BE7" s="24" t="s">
        <v>338</v>
      </c>
      <c r="BF7" s="24"/>
      <c r="BG7" s="31"/>
      <c r="BH7" s="41" t="s">
        <v>339</v>
      </c>
      <c r="BI7" s="42"/>
      <c r="BJ7" s="25" t="s">
        <v>340</v>
      </c>
      <c r="BK7" s="49" t="s">
        <v>341</v>
      </c>
      <c r="BL7" s="49" t="s">
        <v>238</v>
      </c>
      <c r="BM7" s="47"/>
      <c r="BN7" s="47"/>
      <c r="BO7" s="47"/>
      <c r="BP7" s="30"/>
      <c r="BQ7" s="43"/>
      <c r="BR7" s="44"/>
      <c r="BS7" s="45"/>
      <c r="BT7" s="45"/>
      <c r="BU7" s="45"/>
      <c r="BV7" s="46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</row>
    <row r="8" ht="19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7"/>
      <c r="AD8" s="37"/>
      <c r="AE8" s="37"/>
      <c r="AF8" s="37"/>
      <c r="AG8" s="39" t="s">
        <v>342</v>
      </c>
      <c r="AH8" s="38"/>
      <c r="AI8" s="38"/>
      <c r="AJ8" s="39" t="s">
        <v>343</v>
      </c>
      <c r="AK8" s="39"/>
      <c r="AL8" s="38"/>
      <c r="AM8" s="39"/>
      <c r="AN8" s="23"/>
      <c r="AO8" s="23"/>
      <c r="AP8" s="23"/>
      <c r="AQ8" s="23"/>
      <c r="AR8" s="24" t="s">
        <v>344</v>
      </c>
      <c r="AS8" s="24"/>
      <c r="AT8" s="31"/>
      <c r="AU8" s="24" t="s">
        <v>345</v>
      </c>
      <c r="AV8" s="24" t="s">
        <v>346</v>
      </c>
      <c r="AW8" s="24"/>
      <c r="AX8" s="24" t="s">
        <v>347</v>
      </c>
      <c r="AY8" s="24" t="s">
        <v>348</v>
      </c>
      <c r="AZ8" s="31"/>
      <c r="BA8" s="24"/>
      <c r="BB8" s="24"/>
      <c r="BC8" s="24" t="s">
        <v>349</v>
      </c>
      <c r="BD8" s="24"/>
      <c r="BE8" s="24"/>
      <c r="BF8" s="24" t="s">
        <v>350</v>
      </c>
      <c r="BG8" s="31"/>
      <c r="BH8" s="41" t="s">
        <v>351</v>
      </c>
      <c r="BI8" s="42"/>
      <c r="BJ8" s="25" t="s">
        <v>352</v>
      </c>
      <c r="BK8" s="49" t="s">
        <v>353</v>
      </c>
      <c r="BL8" s="49"/>
      <c r="BM8" s="47"/>
      <c r="BN8" s="47"/>
      <c r="BO8" s="47"/>
      <c r="BP8" s="30"/>
      <c r="BQ8" s="43"/>
      <c r="BR8" s="44"/>
      <c r="BS8" s="45"/>
      <c r="BT8" s="45"/>
      <c r="BU8" s="45"/>
      <c r="BV8" s="46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</row>
    <row r="9" ht="19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7"/>
      <c r="AD9" s="37"/>
      <c r="AE9" s="37"/>
      <c r="AF9" s="37"/>
      <c r="AG9" s="39"/>
      <c r="AH9" s="38"/>
      <c r="AI9" s="38"/>
      <c r="AJ9" s="39"/>
      <c r="AK9" s="39"/>
      <c r="AL9" s="38"/>
      <c r="AM9" s="39"/>
      <c r="AN9" s="23"/>
      <c r="AO9" s="23"/>
      <c r="AP9" s="23"/>
      <c r="AQ9" s="23"/>
      <c r="AR9" s="24" t="s">
        <v>354</v>
      </c>
      <c r="AS9" s="24"/>
      <c r="AT9" s="31"/>
      <c r="AU9" s="31"/>
      <c r="AV9" s="24" t="s">
        <v>355</v>
      </c>
      <c r="AW9" s="24"/>
      <c r="AX9" s="24" t="s">
        <v>356</v>
      </c>
      <c r="AY9" s="24" t="s">
        <v>357</v>
      </c>
      <c r="AZ9" s="31"/>
      <c r="BA9" s="24"/>
      <c r="BB9" s="24"/>
      <c r="BC9" s="24"/>
      <c r="BD9" s="24"/>
      <c r="BE9" s="24"/>
      <c r="BF9" s="24" t="s">
        <v>358</v>
      </c>
      <c r="BG9" s="31"/>
      <c r="BH9" s="41" t="s">
        <v>359</v>
      </c>
      <c r="BI9" s="42"/>
      <c r="BJ9" s="25" t="s">
        <v>360</v>
      </c>
      <c r="BK9" s="49" t="s">
        <v>361</v>
      </c>
      <c r="BL9" s="47"/>
      <c r="BM9" s="47"/>
      <c r="BN9" s="47"/>
      <c r="BO9" s="47"/>
      <c r="BP9" s="30"/>
      <c r="BQ9" s="43"/>
      <c r="BR9" s="44"/>
      <c r="BS9" s="45"/>
      <c r="BT9" s="45"/>
      <c r="BU9" s="45"/>
      <c r="BV9" s="46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9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7"/>
      <c r="AD10" s="37"/>
      <c r="AE10" s="37"/>
      <c r="AF10" s="37"/>
      <c r="AG10" s="39"/>
      <c r="AH10" s="38"/>
      <c r="AI10" s="38"/>
      <c r="AJ10" s="39"/>
      <c r="AK10" s="39"/>
      <c r="AL10" s="38"/>
      <c r="AM10" s="39"/>
      <c r="AN10" s="23"/>
      <c r="AO10" s="23"/>
      <c r="AP10" s="23"/>
      <c r="AQ10" s="23"/>
      <c r="AR10" s="24" t="s">
        <v>362</v>
      </c>
      <c r="AS10" s="24"/>
      <c r="AT10" s="31"/>
      <c r="AU10" s="31"/>
      <c r="AV10" s="24"/>
      <c r="AW10" s="24"/>
      <c r="AX10" s="24" t="s">
        <v>363</v>
      </c>
      <c r="AY10" s="24" t="s">
        <v>364</v>
      </c>
      <c r="AZ10" s="31"/>
      <c r="BA10" s="24"/>
      <c r="BB10" s="24"/>
      <c r="BC10" s="24"/>
      <c r="BD10" s="24"/>
      <c r="BE10" s="24"/>
      <c r="BF10" s="24"/>
      <c r="BG10" s="31"/>
      <c r="BH10" s="41" t="s">
        <v>365</v>
      </c>
      <c r="BI10" s="42"/>
      <c r="BJ10" s="25"/>
      <c r="BK10" s="49" t="s">
        <v>366</v>
      </c>
      <c r="BL10" s="47"/>
      <c r="BM10" s="47"/>
      <c r="BN10" s="47"/>
      <c r="BO10" s="47"/>
      <c r="BP10" s="30"/>
      <c r="BQ10" s="43"/>
      <c r="BR10" s="44"/>
      <c r="BS10" s="45"/>
      <c r="BT10" s="45"/>
      <c r="BU10" s="45"/>
      <c r="BV10" s="46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9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7"/>
      <c r="AD11" s="37"/>
      <c r="AE11" s="37"/>
      <c r="AF11" s="37"/>
      <c r="AG11" s="39"/>
      <c r="AH11" s="38"/>
      <c r="AI11" s="38"/>
      <c r="AJ11" s="39"/>
      <c r="AK11" s="39"/>
      <c r="AL11" s="38"/>
      <c r="AM11" s="39"/>
      <c r="AN11" s="23"/>
      <c r="AO11" s="23"/>
      <c r="AP11" s="23"/>
      <c r="AQ11" s="23"/>
      <c r="AR11" s="31"/>
      <c r="AS11" s="31"/>
      <c r="AT11" s="31"/>
      <c r="AU11" s="31"/>
      <c r="AV11" s="24"/>
      <c r="AW11" s="24"/>
      <c r="AX11" s="24" t="s">
        <v>367</v>
      </c>
      <c r="AY11" s="24" t="s">
        <v>368</v>
      </c>
      <c r="AZ11" s="31"/>
      <c r="BA11" s="24"/>
      <c r="BB11" s="24"/>
      <c r="BC11" s="24"/>
      <c r="BD11" s="24"/>
      <c r="BE11" s="24"/>
      <c r="BF11" s="24"/>
      <c r="BG11" s="31"/>
      <c r="BH11" s="41"/>
      <c r="BI11" s="42"/>
      <c r="BJ11" s="25"/>
      <c r="BK11" s="49"/>
      <c r="BL11" s="47"/>
      <c r="BM11" s="47"/>
      <c r="BN11" s="47"/>
      <c r="BO11" s="47"/>
      <c r="BP11" s="30"/>
      <c r="BQ11" s="43"/>
      <c r="BR11" s="44"/>
      <c r="BS11" s="45"/>
      <c r="BT11" s="45"/>
      <c r="BU11" s="45"/>
      <c r="BV11" s="46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</row>
    <row r="12" ht="19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7"/>
      <c r="AD12" s="37"/>
      <c r="AE12" s="37"/>
      <c r="AF12" s="37"/>
      <c r="AG12" s="39"/>
      <c r="AH12" s="38"/>
      <c r="AI12" s="38"/>
      <c r="AJ12" s="39"/>
      <c r="AK12" s="39"/>
      <c r="AL12" s="38"/>
      <c r="AM12" s="39"/>
      <c r="AN12" s="23"/>
      <c r="AO12" s="23"/>
      <c r="AP12" s="23"/>
      <c r="AQ12" s="23"/>
      <c r="AR12" s="31"/>
      <c r="AS12" s="31"/>
      <c r="AT12" s="31"/>
      <c r="AU12" s="31"/>
      <c r="AV12" s="24"/>
      <c r="AW12" s="24"/>
      <c r="AX12" s="24" t="s">
        <v>369</v>
      </c>
      <c r="AY12" s="24" t="s">
        <v>370</v>
      </c>
      <c r="AZ12" s="31"/>
      <c r="BA12" s="24"/>
      <c r="BB12" s="24"/>
      <c r="BC12" s="24"/>
      <c r="BD12" s="24"/>
      <c r="BE12" s="24"/>
      <c r="BF12" s="24"/>
      <c r="BG12" s="31"/>
      <c r="BH12" s="41"/>
      <c r="BI12" s="42"/>
      <c r="BJ12" s="25"/>
      <c r="BK12" s="49"/>
      <c r="BL12" s="47"/>
      <c r="BM12" s="47"/>
      <c r="BN12" s="47"/>
      <c r="BO12" s="47"/>
      <c r="BP12" s="30"/>
      <c r="BQ12" s="43"/>
      <c r="BR12" s="44"/>
      <c r="BS12" s="45"/>
      <c r="BT12" s="45"/>
      <c r="BU12" s="45"/>
      <c r="BV12" s="46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ht="19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7"/>
      <c r="AD13" s="37"/>
      <c r="AE13" s="37"/>
      <c r="AF13" s="37"/>
      <c r="AG13" s="39"/>
      <c r="AH13" s="38"/>
      <c r="AI13" s="38"/>
      <c r="AJ13" s="39"/>
      <c r="AK13" s="39"/>
      <c r="AL13" s="38"/>
      <c r="AM13" s="39"/>
      <c r="AN13" s="23"/>
      <c r="AO13" s="23"/>
      <c r="AP13" s="23"/>
      <c r="AQ13" s="23"/>
      <c r="AR13" s="31"/>
      <c r="AS13" s="31"/>
      <c r="AT13" s="31"/>
      <c r="AU13" s="31"/>
      <c r="AV13" s="24"/>
      <c r="AW13" s="24"/>
      <c r="AX13" s="24" t="s">
        <v>371</v>
      </c>
      <c r="AY13" s="24" t="s">
        <v>372</v>
      </c>
      <c r="AZ13" s="31"/>
      <c r="BA13" s="24"/>
      <c r="BB13" s="24"/>
      <c r="BC13" s="24"/>
      <c r="BD13" s="24"/>
      <c r="BE13" s="24"/>
      <c r="BF13" s="24"/>
      <c r="BG13" s="31"/>
      <c r="BH13" s="41"/>
      <c r="BI13" s="42"/>
      <c r="BJ13" s="25"/>
      <c r="BK13" s="49"/>
      <c r="BL13" s="47"/>
      <c r="BM13" s="47"/>
      <c r="BN13" s="47"/>
      <c r="BO13" s="47"/>
      <c r="BP13" s="30"/>
      <c r="BQ13" s="43"/>
      <c r="BR13" s="44"/>
      <c r="BS13" s="45"/>
      <c r="BT13" s="45"/>
      <c r="BU13" s="45"/>
      <c r="BV13" s="46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</row>
    <row r="14" ht="19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7"/>
      <c r="AD14" s="37"/>
      <c r="AE14" s="37"/>
      <c r="AF14" s="37"/>
      <c r="AG14" s="39"/>
      <c r="AH14" s="38"/>
      <c r="AI14" s="38"/>
      <c r="AJ14" s="39"/>
      <c r="AK14" s="39"/>
      <c r="AL14" s="38"/>
      <c r="AM14" s="39"/>
      <c r="AN14" s="23"/>
      <c r="AO14" s="23"/>
      <c r="AP14" s="23"/>
      <c r="AQ14" s="23"/>
      <c r="AR14" s="31"/>
      <c r="AS14" s="31"/>
      <c r="AT14" s="31"/>
      <c r="AU14" s="31"/>
      <c r="AV14" s="24"/>
      <c r="AW14" s="24"/>
      <c r="AX14" s="24"/>
      <c r="AY14" s="24" t="s">
        <v>373</v>
      </c>
      <c r="AZ14" s="31"/>
      <c r="BA14" s="24"/>
      <c r="BB14" s="24"/>
      <c r="BC14" s="24"/>
      <c r="BD14" s="24"/>
      <c r="BE14" s="24"/>
      <c r="BF14" s="24"/>
      <c r="BG14" s="31"/>
      <c r="BH14" s="41"/>
      <c r="BI14" s="42"/>
      <c r="BJ14" s="25"/>
      <c r="BK14" s="49"/>
      <c r="BL14" s="47"/>
      <c r="BM14" s="47"/>
      <c r="BN14" s="47"/>
      <c r="BO14" s="47"/>
      <c r="BP14" s="30"/>
      <c r="BQ14" s="43"/>
      <c r="BR14" s="44"/>
      <c r="BS14" s="45"/>
      <c r="BT14" s="45"/>
      <c r="BU14" s="45"/>
      <c r="BV14" s="46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</row>
    <row r="15" ht="19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37"/>
      <c r="AE15" s="37"/>
      <c r="AF15" s="37"/>
      <c r="AG15" s="39"/>
      <c r="AH15" s="38"/>
      <c r="AI15" s="38"/>
      <c r="AJ15" s="39"/>
      <c r="AK15" s="39"/>
      <c r="AL15" s="38"/>
      <c r="AM15" s="39"/>
      <c r="AN15" s="23"/>
      <c r="AO15" s="23"/>
      <c r="AP15" s="23"/>
      <c r="AQ15" s="23"/>
      <c r="AR15" s="31"/>
      <c r="AS15" s="31"/>
      <c r="AT15" s="31"/>
      <c r="AU15" s="31"/>
      <c r="AV15" s="24"/>
      <c r="AW15" s="24"/>
      <c r="AX15" s="24"/>
      <c r="AY15" s="24" t="s">
        <v>374</v>
      </c>
      <c r="AZ15" s="31"/>
      <c r="BA15" s="24"/>
      <c r="BB15" s="24"/>
      <c r="BC15" s="24"/>
      <c r="BD15" s="24"/>
      <c r="BE15" s="24"/>
      <c r="BF15" s="24"/>
      <c r="BG15" s="31"/>
      <c r="BH15" s="41"/>
      <c r="BI15" s="42"/>
      <c r="BJ15" s="25"/>
      <c r="BK15" s="49"/>
      <c r="BL15" s="47"/>
      <c r="BM15" s="47"/>
      <c r="BN15" s="47"/>
      <c r="BO15" s="47"/>
      <c r="BP15" s="30"/>
      <c r="BQ15" s="43"/>
      <c r="BR15" s="44"/>
      <c r="BS15" s="45"/>
      <c r="BT15" s="45"/>
      <c r="BU15" s="45"/>
      <c r="BV15" s="46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</row>
    <row r="16" ht="19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37"/>
      <c r="AE16" s="37"/>
      <c r="AF16" s="37"/>
      <c r="AG16" s="39"/>
      <c r="AH16" s="38"/>
      <c r="AI16" s="38"/>
      <c r="AJ16" s="39"/>
      <c r="AK16" s="39"/>
      <c r="AL16" s="38"/>
      <c r="AM16" s="39"/>
      <c r="AN16" s="23"/>
      <c r="AO16" s="23"/>
      <c r="AP16" s="23"/>
      <c r="AQ16" s="23"/>
      <c r="AR16" s="31"/>
      <c r="AS16" s="31"/>
      <c r="AT16" s="31"/>
      <c r="AU16" s="31"/>
      <c r="AV16" s="24"/>
      <c r="AW16" s="24"/>
      <c r="AX16" s="24"/>
      <c r="AY16" s="24" t="s">
        <v>375</v>
      </c>
      <c r="AZ16" s="31"/>
      <c r="BA16" s="24"/>
      <c r="BB16" s="24"/>
      <c r="BC16" s="24"/>
      <c r="BD16" s="24"/>
      <c r="BE16" s="24"/>
      <c r="BF16" s="24"/>
      <c r="BG16" s="31"/>
      <c r="BH16" s="41"/>
      <c r="BI16" s="42"/>
      <c r="BJ16" s="25"/>
      <c r="BK16" s="49"/>
      <c r="BL16" s="47"/>
      <c r="BM16" s="47"/>
      <c r="BN16" s="47"/>
      <c r="BO16" s="47"/>
      <c r="BP16" s="30"/>
      <c r="BQ16" s="43"/>
      <c r="BR16" s="44"/>
      <c r="BS16" s="45"/>
      <c r="BT16" s="45"/>
      <c r="BU16" s="45"/>
      <c r="BV16" s="46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</row>
    <row r="17" ht="19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37"/>
      <c r="AE17" s="37"/>
      <c r="AF17" s="37"/>
      <c r="AG17" s="39"/>
      <c r="AH17" s="38"/>
      <c r="AI17" s="38"/>
      <c r="AJ17" s="39"/>
      <c r="AK17" s="39"/>
      <c r="AL17" s="38"/>
      <c r="AM17" s="39"/>
      <c r="AN17" s="23"/>
      <c r="AO17" s="23"/>
      <c r="AP17" s="23"/>
      <c r="AQ17" s="23"/>
      <c r="AR17" s="31"/>
      <c r="AS17" s="31"/>
      <c r="AT17" s="31"/>
      <c r="AU17" s="31"/>
      <c r="AV17" s="24"/>
      <c r="AW17" s="24"/>
      <c r="AX17" s="24"/>
      <c r="AY17" s="24" t="s">
        <v>376</v>
      </c>
      <c r="AZ17" s="31"/>
      <c r="BA17" s="24"/>
      <c r="BB17" s="24"/>
      <c r="BC17" s="24"/>
      <c r="BD17" s="24"/>
      <c r="BE17" s="24"/>
      <c r="BF17" s="24"/>
      <c r="BG17" s="31"/>
      <c r="BH17" s="41"/>
      <c r="BI17" s="42"/>
      <c r="BJ17" s="25"/>
      <c r="BK17" s="49"/>
      <c r="BL17" s="47"/>
      <c r="BM17" s="47"/>
      <c r="BN17" s="47"/>
      <c r="BO17" s="47"/>
      <c r="BP17" s="30"/>
      <c r="BQ17" s="43"/>
      <c r="BR17" s="44"/>
      <c r="BS17" s="45"/>
      <c r="BT17" s="45"/>
      <c r="BU17" s="45"/>
      <c r="BV17" s="46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9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7"/>
      <c r="AD18" s="37"/>
      <c r="AE18" s="37"/>
      <c r="AF18" s="37"/>
      <c r="AG18" s="39"/>
      <c r="AH18" s="38"/>
      <c r="AI18" s="38"/>
      <c r="AJ18" s="39"/>
      <c r="AK18" s="39"/>
      <c r="AL18" s="38"/>
      <c r="AM18" s="39"/>
      <c r="AN18" s="23"/>
      <c r="AO18" s="23"/>
      <c r="AP18" s="23"/>
      <c r="AQ18" s="23"/>
      <c r="AR18" s="31"/>
      <c r="AS18" s="31"/>
      <c r="AT18" s="31"/>
      <c r="AU18" s="31"/>
      <c r="AV18" s="24"/>
      <c r="AW18" s="24"/>
      <c r="AX18" s="24"/>
      <c r="AY18" s="24" t="s">
        <v>377</v>
      </c>
      <c r="AZ18" s="31"/>
      <c r="BA18" s="24"/>
      <c r="BB18" s="24"/>
      <c r="BC18" s="24"/>
      <c r="BD18" s="24"/>
      <c r="BE18" s="24"/>
      <c r="BF18" s="24"/>
      <c r="BG18" s="31"/>
      <c r="BH18" s="41"/>
      <c r="BI18" s="42"/>
      <c r="BJ18" s="25"/>
      <c r="BK18" s="49"/>
      <c r="BL18" s="47"/>
      <c r="BM18" s="47"/>
      <c r="BN18" s="47"/>
      <c r="BO18" s="47"/>
      <c r="BP18" s="30"/>
      <c r="BQ18" s="43"/>
      <c r="BR18" s="44"/>
      <c r="BS18" s="45"/>
      <c r="BT18" s="45"/>
      <c r="BU18" s="45"/>
      <c r="BV18" s="46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9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7"/>
      <c r="AD19" s="37"/>
      <c r="AE19" s="37"/>
      <c r="AF19" s="37"/>
      <c r="AG19" s="39"/>
      <c r="AH19" s="38"/>
      <c r="AI19" s="38"/>
      <c r="AJ19" s="39"/>
      <c r="AK19" s="39"/>
      <c r="AL19" s="38"/>
      <c r="AM19" s="39"/>
      <c r="AN19" s="23"/>
      <c r="AO19" s="23"/>
      <c r="AP19" s="23"/>
      <c r="AQ19" s="23"/>
      <c r="AR19" s="31"/>
      <c r="AS19" s="31"/>
      <c r="AT19" s="31"/>
      <c r="AU19" s="31"/>
      <c r="AV19" s="24"/>
      <c r="AW19" s="24"/>
      <c r="AX19" s="24"/>
      <c r="AY19" s="24"/>
      <c r="AZ19" s="31"/>
      <c r="BA19" s="24"/>
      <c r="BB19" s="24"/>
      <c r="BC19" s="24"/>
      <c r="BD19" s="24"/>
      <c r="BE19" s="24"/>
      <c r="BF19" s="24"/>
      <c r="BG19" s="31"/>
      <c r="BH19" s="41"/>
      <c r="BI19" s="42"/>
      <c r="BJ19" s="25"/>
      <c r="BK19" s="49"/>
      <c r="BL19" s="47"/>
      <c r="BM19" s="47"/>
      <c r="BN19" s="47"/>
      <c r="BO19" s="47"/>
      <c r="BP19" s="30"/>
      <c r="BQ19" s="43"/>
      <c r="BR19" s="44"/>
      <c r="BS19" s="45"/>
      <c r="BT19" s="45"/>
      <c r="BU19" s="45"/>
      <c r="BV19" s="46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</row>
    <row r="20" ht="19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7"/>
      <c r="AD20" s="37"/>
      <c r="AE20" s="37"/>
      <c r="AF20" s="37"/>
      <c r="AG20" s="39"/>
      <c r="AH20" s="38"/>
      <c r="AI20" s="38"/>
      <c r="AJ20" s="39"/>
      <c r="AK20" s="39"/>
      <c r="AL20" s="38"/>
      <c r="AM20" s="39"/>
      <c r="AN20" s="23"/>
      <c r="AO20" s="23"/>
      <c r="AP20" s="23"/>
      <c r="AQ20" s="23"/>
      <c r="AR20" s="31"/>
      <c r="AS20" s="31"/>
      <c r="AT20" s="31"/>
      <c r="AU20" s="31"/>
      <c r="AV20" s="24"/>
      <c r="AW20" s="24"/>
      <c r="AX20" s="24"/>
      <c r="AY20" s="24"/>
      <c r="AZ20" s="31"/>
      <c r="BA20" s="24"/>
      <c r="BB20" s="24"/>
      <c r="BC20" s="24"/>
      <c r="BD20" s="24"/>
      <c r="BE20" s="24"/>
      <c r="BF20" s="24"/>
      <c r="BG20" s="31"/>
      <c r="BH20" s="41"/>
      <c r="BI20" s="42"/>
      <c r="BJ20" s="25"/>
      <c r="BK20" s="49"/>
      <c r="BL20" s="47"/>
      <c r="BM20" s="47"/>
      <c r="BN20" s="47"/>
      <c r="BO20" s="47"/>
      <c r="BP20" s="30"/>
      <c r="BQ20" s="43"/>
      <c r="BR20" s="44"/>
      <c r="BS20" s="45"/>
      <c r="BT20" s="45"/>
      <c r="BU20" s="45"/>
      <c r="BV20" s="46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ht="19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7"/>
      <c r="AD21" s="37"/>
      <c r="AE21" s="37"/>
      <c r="AF21" s="37"/>
      <c r="AG21" s="39"/>
      <c r="AH21" s="38"/>
      <c r="AI21" s="38"/>
      <c r="AJ21" s="39"/>
      <c r="AK21" s="39"/>
      <c r="AL21" s="38"/>
      <c r="AM21" s="39"/>
      <c r="AN21" s="23"/>
      <c r="AO21" s="23"/>
      <c r="AP21" s="23"/>
      <c r="AQ21" s="23"/>
      <c r="AR21" s="31"/>
      <c r="AS21" s="31"/>
      <c r="AT21" s="31"/>
      <c r="AU21" s="31"/>
      <c r="AV21" s="24"/>
      <c r="AW21" s="24"/>
      <c r="AX21" s="24"/>
      <c r="AY21" s="24"/>
      <c r="AZ21" s="31"/>
      <c r="BA21" s="24"/>
      <c r="BB21" s="24"/>
      <c r="BC21" s="24"/>
      <c r="BD21" s="24"/>
      <c r="BE21" s="24"/>
      <c r="BF21" s="24"/>
      <c r="BG21" s="31"/>
      <c r="BH21" s="41"/>
      <c r="BI21" s="42"/>
      <c r="BJ21" s="25"/>
      <c r="BK21" s="49"/>
      <c r="BL21" s="47"/>
      <c r="BM21" s="47"/>
      <c r="BN21" s="47"/>
      <c r="BO21" s="47"/>
      <c r="BP21" s="30"/>
      <c r="BQ21" s="43"/>
      <c r="BR21" s="44"/>
      <c r="BS21" s="45"/>
      <c r="BT21" s="45"/>
      <c r="BU21" s="45"/>
      <c r="BV21" s="46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</row>
    <row r="22" ht="48.0" customHeight="1">
      <c r="A22" s="50"/>
      <c r="B22" s="50"/>
      <c r="C22" s="50"/>
      <c r="D22" s="50"/>
      <c r="E22" s="50"/>
      <c r="F22" s="50"/>
      <c r="G22" s="50"/>
      <c r="H22" s="50"/>
      <c r="I22" s="51" t="s">
        <v>2</v>
      </c>
      <c r="J22" s="51" t="s">
        <v>16</v>
      </c>
      <c r="K22" s="51" t="s">
        <v>105</v>
      </c>
      <c r="L22" s="51" t="s">
        <v>378</v>
      </c>
      <c r="M22" s="51" t="s">
        <v>379</v>
      </c>
      <c r="N22" s="51" t="s">
        <v>380</v>
      </c>
      <c r="O22" s="51" t="s">
        <v>381</v>
      </c>
      <c r="P22" s="51" t="s">
        <v>382</v>
      </c>
      <c r="Q22" s="51" t="s">
        <v>383</v>
      </c>
      <c r="R22" s="51" t="s">
        <v>384</v>
      </c>
      <c r="S22" s="51" t="s">
        <v>134</v>
      </c>
      <c r="T22" s="52" t="s">
        <v>385</v>
      </c>
      <c r="U22" s="52" t="s">
        <v>137</v>
      </c>
      <c r="V22" s="51" t="s">
        <v>187</v>
      </c>
      <c r="W22" s="52" t="s">
        <v>386</v>
      </c>
      <c r="X22" s="51" t="s">
        <v>387</v>
      </c>
      <c r="Y22" s="50"/>
      <c r="Z22" s="50"/>
      <c r="AA22" s="50"/>
      <c r="AB22" s="50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4"/>
      <c r="AN22" s="23"/>
      <c r="AO22" s="23"/>
      <c r="AP22" s="23"/>
      <c r="AQ22" s="23"/>
      <c r="AR22" s="31"/>
      <c r="AS22" s="31"/>
      <c r="AT22" s="31"/>
      <c r="AU22" s="31"/>
      <c r="AV22" s="24" t="s">
        <v>388</v>
      </c>
      <c r="AW22" s="24"/>
      <c r="AX22" s="24"/>
      <c r="AY22" s="24"/>
      <c r="AZ22" s="31"/>
      <c r="BA22" s="24"/>
      <c r="BB22" s="24"/>
      <c r="BC22" s="24"/>
      <c r="BD22" s="24"/>
      <c r="BE22" s="24"/>
      <c r="BF22" s="24" t="s">
        <v>355</v>
      </c>
      <c r="BG22" s="31"/>
      <c r="BH22" s="55" t="s">
        <v>389</v>
      </c>
      <c r="BI22" s="56"/>
      <c r="BJ22" s="25" t="s">
        <v>390</v>
      </c>
      <c r="BK22" s="49" t="s">
        <v>391</v>
      </c>
      <c r="BL22" s="31"/>
      <c r="BM22" s="31"/>
      <c r="BN22" s="31"/>
      <c r="BO22" s="31"/>
      <c r="BP22" s="57"/>
      <c r="BQ22" s="58"/>
      <c r="BR22" s="59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60"/>
      <c r="AD23" s="60"/>
      <c r="AE23" s="60"/>
      <c r="AF23" s="60"/>
      <c r="AG23" s="7"/>
      <c r="AH23" s="61"/>
      <c r="AI23" s="61"/>
      <c r="AJ23" s="7"/>
      <c r="AK23" s="7"/>
      <c r="AL23" s="61"/>
      <c r="AM23" s="7"/>
      <c r="AN23" s="23"/>
      <c r="AO23" s="23"/>
      <c r="AP23" s="23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6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60"/>
      <c r="AD24" s="60"/>
      <c r="AE24" s="60"/>
      <c r="AF24" s="60"/>
      <c r="AG24" s="7"/>
      <c r="AH24" s="61"/>
      <c r="AI24" s="61"/>
      <c r="AJ24" s="7"/>
      <c r="AK24" s="7"/>
      <c r="AL24" s="61"/>
      <c r="AM24" s="7"/>
      <c r="AN24" s="23"/>
      <c r="AO24" s="23"/>
      <c r="AP24" s="23"/>
      <c r="AQ24" s="2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6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</row>
    <row r="25" ht="15.75" customHeight="1">
      <c r="A25" s="63"/>
      <c r="B25" s="63"/>
      <c r="C25" s="63"/>
      <c r="D25" s="63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5"/>
      <c r="AD25" s="65"/>
      <c r="AE25" s="65"/>
      <c r="AF25" s="65"/>
      <c r="AG25" s="6"/>
      <c r="AH25" s="6"/>
      <c r="AI25" s="6"/>
      <c r="AJ25" s="7"/>
      <c r="AK25" s="7"/>
      <c r="AL25" s="6"/>
      <c r="AM25" s="6"/>
      <c r="AN25" s="8"/>
      <c r="AO25" s="8"/>
      <c r="AP25" s="8"/>
      <c r="AQ25" s="8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6"/>
      <c r="BS25" s="64"/>
      <c r="BT25" s="64"/>
      <c r="BU25" s="64"/>
      <c r="BV25" s="64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ht="102.0" customHeight="1">
      <c r="A26" s="2"/>
      <c r="B26" s="2" t="s">
        <v>392</v>
      </c>
      <c r="C26" s="35" t="s">
        <v>393</v>
      </c>
      <c r="D26" s="2" t="s">
        <v>394</v>
      </c>
      <c r="E26" s="2" t="s">
        <v>395</v>
      </c>
      <c r="F26" s="67" t="s">
        <v>396</v>
      </c>
      <c r="G26" s="68" t="s">
        <v>397</v>
      </c>
      <c r="H26" s="2">
        <v>6.2812123123E10</v>
      </c>
      <c r="I26" s="1" t="s">
        <v>14</v>
      </c>
      <c r="J26" s="1" t="s">
        <v>398</v>
      </c>
      <c r="K26" s="1" t="s">
        <v>107</v>
      </c>
      <c r="L26" s="1">
        <v>3000.0</v>
      </c>
      <c r="M26" s="1">
        <v>1150.0</v>
      </c>
      <c r="N26" s="1">
        <v>750.0</v>
      </c>
      <c r="O26" s="1"/>
      <c r="P26" s="1"/>
      <c r="Q26" s="1"/>
      <c r="R26" s="1"/>
      <c r="S26" s="3" t="s">
        <v>399</v>
      </c>
      <c r="T26" s="1"/>
      <c r="U26" s="1"/>
      <c r="V26" s="1"/>
      <c r="W26" s="1"/>
      <c r="X26" s="1" t="s">
        <v>400</v>
      </c>
      <c r="Y26" s="1"/>
      <c r="Z26" s="2">
        <v>1.0</v>
      </c>
      <c r="AA26" s="69">
        <v>5.3E7</v>
      </c>
      <c r="AB26" s="69">
        <v>5.58E7</v>
      </c>
      <c r="AC26" s="70">
        <f>SUM(AB26:AB98)</f>
        <v>245100000</v>
      </c>
      <c r="AD26" s="70">
        <v>0.0</v>
      </c>
      <c r="AE26" s="70">
        <f>AC26*11%</f>
        <v>26961000</v>
      </c>
      <c r="AF26" s="70">
        <f>AC26+AE26</f>
        <v>272061000</v>
      </c>
      <c r="AG26" s="71">
        <v>2.9E7</v>
      </c>
      <c r="AH26" s="6" t="s">
        <v>401</v>
      </c>
      <c r="AI26" s="6" t="s">
        <v>402</v>
      </c>
      <c r="AJ26" s="7">
        <v>1.0</v>
      </c>
      <c r="AK26" s="7" t="s">
        <v>403</v>
      </c>
      <c r="AL26" s="71">
        <f>AG26*AJ26</f>
        <v>29000000</v>
      </c>
      <c r="AM26" s="6" t="s">
        <v>404</v>
      </c>
      <c r="AN26" s="72"/>
      <c r="AO26" s="73"/>
      <c r="AP26" s="72"/>
      <c r="AQ26" s="73"/>
      <c r="AR26" s="74"/>
      <c r="AS26" s="75"/>
      <c r="AT26" s="75"/>
      <c r="AU26" s="74"/>
      <c r="AV26" s="75"/>
      <c r="AW26" s="75"/>
      <c r="AX26" s="74"/>
      <c r="AY26" s="74"/>
      <c r="AZ26" s="74"/>
      <c r="BA26" s="74"/>
      <c r="BB26" s="74"/>
      <c r="BC26" s="74"/>
      <c r="BD26" s="74"/>
      <c r="BE26" s="74">
        <v>2.9E7</v>
      </c>
      <c r="BF26" s="75"/>
      <c r="BG26" s="75"/>
      <c r="BH26" s="74">
        <f>(AC26-BJ103-AE26)*3%</f>
        <v>5944170</v>
      </c>
      <c r="BI26" s="76"/>
      <c r="BJ26" s="74"/>
      <c r="BK26" s="76"/>
      <c r="BL26" s="74">
        <f>AE26</f>
        <v>26961000</v>
      </c>
      <c r="BM26" s="76"/>
      <c r="BN26" s="76"/>
      <c r="BO26" s="76"/>
      <c r="BP26" s="77">
        <f>AC26*0.15</f>
        <v>36765000</v>
      </c>
      <c r="BQ26" s="78">
        <f>SUM(AR26:BP105)</f>
        <v>215964921</v>
      </c>
      <c r="BR26" s="79">
        <f>AC26-BQ26</f>
        <v>29135079</v>
      </c>
      <c r="BS26" s="80">
        <v>45680.0</v>
      </c>
      <c r="BT26" s="80">
        <v>45741.0</v>
      </c>
      <c r="BU26" s="1"/>
      <c r="BV26" s="1"/>
      <c r="BW26" s="1" t="s">
        <v>359</v>
      </c>
      <c r="BX26" s="1" t="s">
        <v>405</v>
      </c>
      <c r="BY26" s="81" t="s">
        <v>406</v>
      </c>
      <c r="BZ26" s="1">
        <v>6.2812123123E10</v>
      </c>
      <c r="CA26" s="1" t="s">
        <v>407</v>
      </c>
      <c r="CB26" s="1">
        <v>1.23123123E8</v>
      </c>
      <c r="CC26" s="1">
        <v>1.23123123E8</v>
      </c>
      <c r="CD26" s="1">
        <v>1.23123123E8</v>
      </c>
      <c r="CE26" s="1"/>
      <c r="CF26" s="1"/>
      <c r="CG26" s="1"/>
    </row>
    <row r="27" ht="15.75" customHeight="1">
      <c r="A27" s="2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82"/>
      <c r="AB27" s="1"/>
      <c r="AC27" s="5"/>
      <c r="AD27" s="5"/>
      <c r="AE27" s="5"/>
      <c r="AF27" s="5"/>
      <c r="AG27" s="71"/>
      <c r="AH27" s="6"/>
      <c r="AI27" s="6"/>
      <c r="AJ27" s="7"/>
      <c r="AK27" s="7"/>
      <c r="AL27" s="6"/>
      <c r="AM27" s="6"/>
      <c r="AN27" s="83"/>
      <c r="AO27" s="8"/>
      <c r="AP27" s="83"/>
      <c r="AQ27" s="8"/>
      <c r="AR27" s="74"/>
      <c r="AS27" s="75"/>
      <c r="AT27" s="75"/>
      <c r="AU27" s="75"/>
      <c r="AV27" s="75"/>
      <c r="AW27" s="75"/>
      <c r="AX27" s="75"/>
      <c r="AY27" s="74"/>
      <c r="AZ27" s="75"/>
      <c r="BA27" s="74"/>
      <c r="BB27" s="74"/>
      <c r="BC27" s="74"/>
      <c r="BD27" s="74"/>
      <c r="BE27" s="74" t="s">
        <v>408</v>
      </c>
      <c r="BF27" s="75"/>
      <c r="BG27" s="75"/>
      <c r="BH27" s="76"/>
      <c r="BI27" s="76"/>
      <c r="BJ27" s="74"/>
      <c r="BK27" s="76"/>
      <c r="BL27" s="76"/>
      <c r="BM27" s="76"/>
      <c r="BN27" s="76"/>
      <c r="BO27" s="76"/>
      <c r="BP27" s="76"/>
      <c r="BQ27" s="76"/>
      <c r="BR27" s="9"/>
      <c r="BS27" s="1"/>
      <c r="BT27" s="80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ht="15.75" customHeight="1">
      <c r="A28" s="2"/>
      <c r="B28" s="2"/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82"/>
      <c r="AB28" s="1"/>
      <c r="AC28" s="5"/>
      <c r="AD28" s="5"/>
      <c r="AE28" s="5"/>
      <c r="AF28" s="5"/>
      <c r="AG28" s="71"/>
      <c r="AH28" s="6"/>
      <c r="AI28" s="6"/>
      <c r="AJ28" s="7"/>
      <c r="AK28" s="7"/>
      <c r="AL28" s="6"/>
      <c r="AM28" s="6"/>
      <c r="AN28" s="83"/>
      <c r="AO28" s="8"/>
      <c r="AP28" s="83"/>
      <c r="AQ28" s="8"/>
      <c r="AR28" s="75"/>
      <c r="AS28" s="75"/>
      <c r="AT28" s="75"/>
      <c r="AU28" s="75"/>
      <c r="AV28" s="75"/>
      <c r="AW28" s="75"/>
      <c r="AX28" s="75"/>
      <c r="AY28" s="74"/>
      <c r="AZ28" s="75"/>
      <c r="BA28" s="74"/>
      <c r="BB28" s="74"/>
      <c r="BC28" s="74"/>
      <c r="BD28" s="74"/>
      <c r="BE28" s="75"/>
      <c r="BF28" s="75"/>
      <c r="BG28" s="75"/>
      <c r="BH28" s="76"/>
      <c r="BI28" s="76"/>
      <c r="BJ28" s="74"/>
      <c r="BK28" s="76"/>
      <c r="BL28" s="76"/>
      <c r="BM28" s="76"/>
      <c r="BN28" s="76"/>
      <c r="BO28" s="76"/>
      <c r="BP28" s="76"/>
      <c r="BQ28" s="76"/>
      <c r="BR28" s="9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ht="15.75" customHeight="1">
      <c r="A29" s="2"/>
      <c r="B29" s="2"/>
      <c r="C29" s="2"/>
      <c r="D29" s="2"/>
      <c r="E29" s="2"/>
      <c r="F29" s="1"/>
      <c r="G29" s="1"/>
      <c r="H29" s="1"/>
      <c r="I29" s="1" t="s">
        <v>409</v>
      </c>
      <c r="J29" s="1" t="s">
        <v>410</v>
      </c>
      <c r="K29" s="1" t="s">
        <v>107</v>
      </c>
      <c r="L29" s="1">
        <v>550.0</v>
      </c>
      <c r="M29" s="1">
        <v>550.0</v>
      </c>
      <c r="N29" s="1">
        <v>880.0</v>
      </c>
      <c r="O29" s="1">
        <v>450.0</v>
      </c>
      <c r="P29" s="1"/>
      <c r="Q29" s="1">
        <v>880.0</v>
      </c>
      <c r="R29" s="1"/>
      <c r="S29" s="1" t="s">
        <v>411</v>
      </c>
      <c r="T29" s="1"/>
      <c r="U29" s="1"/>
      <c r="V29" s="1" t="s">
        <v>412</v>
      </c>
      <c r="W29" s="1" t="s">
        <v>216</v>
      </c>
      <c r="X29" s="1" t="s">
        <v>400</v>
      </c>
      <c r="Y29" s="1"/>
      <c r="Z29" s="2">
        <v>4.0</v>
      </c>
      <c r="AA29" s="69">
        <v>9300000.0</v>
      </c>
      <c r="AB29" s="69">
        <f>Z29*AA29</f>
        <v>37200000</v>
      </c>
      <c r="AC29" s="5"/>
      <c r="AD29" s="5"/>
      <c r="AE29" s="5"/>
      <c r="AF29" s="5"/>
      <c r="AG29" s="71">
        <v>1200000.0</v>
      </c>
      <c r="AH29" s="6" t="s">
        <v>413</v>
      </c>
      <c r="AI29" s="6" t="s">
        <v>414</v>
      </c>
      <c r="AJ29" s="7">
        <v>4.0</v>
      </c>
      <c r="AK29" s="7" t="s">
        <v>415</v>
      </c>
      <c r="AL29" s="71">
        <f t="shared" ref="AL29:AL32" si="1">AG29*AJ29</f>
        <v>4800000</v>
      </c>
      <c r="AM29" s="6" t="s">
        <v>416</v>
      </c>
      <c r="AN29" s="8"/>
      <c r="AO29" s="8"/>
      <c r="AP29" s="8"/>
      <c r="AQ29" s="8"/>
      <c r="AR29" s="75"/>
      <c r="AS29" s="75"/>
      <c r="AT29" s="75"/>
      <c r="AU29" s="75"/>
      <c r="AV29" s="75"/>
      <c r="AW29" s="75"/>
      <c r="AX29" s="75"/>
      <c r="AY29" s="74">
        <v>4800000.0</v>
      </c>
      <c r="AZ29" s="75"/>
      <c r="BA29" s="75"/>
      <c r="BB29" s="75"/>
      <c r="BC29" s="75"/>
      <c r="BD29" s="75"/>
      <c r="BE29" s="75"/>
      <c r="BF29" s="75"/>
      <c r="BG29" s="75"/>
      <c r="BH29" s="76"/>
      <c r="BI29" s="76"/>
      <c r="BJ29" s="74"/>
      <c r="BK29" s="76"/>
      <c r="BL29" s="76"/>
      <c r="BM29" s="76"/>
      <c r="BN29" s="76"/>
      <c r="BO29" s="76"/>
      <c r="BP29" s="76"/>
      <c r="BQ29" s="76"/>
      <c r="BR29" s="9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ht="15.75" customHeight="1">
      <c r="A30" s="2"/>
      <c r="B30" s="2"/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82"/>
      <c r="AB30" s="1"/>
      <c r="AC30" s="5"/>
      <c r="AD30" s="5"/>
      <c r="AE30" s="5"/>
      <c r="AF30" s="5"/>
      <c r="AG30" s="71">
        <v>350000.0</v>
      </c>
      <c r="AH30" s="6" t="s">
        <v>417</v>
      </c>
      <c r="AI30" s="6" t="s">
        <v>418</v>
      </c>
      <c r="AJ30" s="7">
        <v>4.0</v>
      </c>
      <c r="AK30" s="7" t="s">
        <v>415</v>
      </c>
      <c r="AL30" s="71">
        <f t="shared" si="1"/>
        <v>1400000</v>
      </c>
      <c r="AM30" s="6" t="s">
        <v>419</v>
      </c>
      <c r="AN30" s="8"/>
      <c r="AO30" s="8"/>
      <c r="AP30" s="8"/>
      <c r="AQ30" s="8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4">
        <v>1400000.0</v>
      </c>
      <c r="BD30" s="75"/>
      <c r="BE30" s="75"/>
      <c r="BF30" s="75"/>
      <c r="BG30" s="75"/>
      <c r="BH30" s="75"/>
      <c r="BI30" s="75"/>
      <c r="BJ30" s="74"/>
      <c r="BK30" s="75"/>
      <c r="BL30" s="75"/>
      <c r="BM30" s="75"/>
      <c r="BN30" s="75"/>
      <c r="BO30" s="75"/>
      <c r="BP30" s="75"/>
      <c r="BQ30" s="75"/>
      <c r="BR30" s="9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ht="15.75" customHeight="1">
      <c r="A31" s="2"/>
      <c r="B31" s="2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5"/>
      <c r="AD31" s="5"/>
      <c r="AE31" s="5"/>
      <c r="AF31" s="5"/>
      <c r="AG31" s="71">
        <v>500000.0</v>
      </c>
      <c r="AH31" s="6" t="s">
        <v>420</v>
      </c>
      <c r="AI31" s="6" t="s">
        <v>421</v>
      </c>
      <c r="AJ31" s="7">
        <v>4.0</v>
      </c>
      <c r="AK31" s="7" t="s">
        <v>415</v>
      </c>
      <c r="AL31" s="71">
        <f t="shared" si="1"/>
        <v>2000000</v>
      </c>
      <c r="AM31" s="6" t="s">
        <v>422</v>
      </c>
      <c r="AN31" s="8"/>
      <c r="AO31" s="8"/>
      <c r="AP31" s="8"/>
      <c r="AQ31" s="8"/>
      <c r="AR31" s="75"/>
      <c r="AS31" s="75"/>
      <c r="AT31" s="75"/>
      <c r="AU31" s="75"/>
      <c r="AV31" s="75"/>
      <c r="AW31" s="75"/>
      <c r="AX31" s="75"/>
      <c r="AY31" s="75"/>
      <c r="AZ31" s="75"/>
      <c r="BA31" s="74">
        <v>2000000.0</v>
      </c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9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ht="15.75" customHeight="1">
      <c r="A32" s="2"/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5"/>
      <c r="AD32" s="5"/>
      <c r="AE32" s="5"/>
      <c r="AF32" s="5"/>
      <c r="AG32" s="71">
        <v>294000.0</v>
      </c>
      <c r="AH32" s="6" t="s">
        <v>282</v>
      </c>
      <c r="AI32" s="6" t="s">
        <v>423</v>
      </c>
      <c r="AJ32" s="7">
        <v>6.0</v>
      </c>
      <c r="AK32" s="7" t="s">
        <v>280</v>
      </c>
      <c r="AL32" s="71">
        <f t="shared" si="1"/>
        <v>1764000</v>
      </c>
      <c r="AM32" s="6" t="s">
        <v>329</v>
      </c>
      <c r="AN32" s="8"/>
      <c r="AO32" s="8"/>
      <c r="AP32" s="8"/>
      <c r="AQ32" s="8"/>
      <c r="AR32" s="74">
        <v>1764000.0</v>
      </c>
      <c r="AS32" s="75"/>
      <c r="AT32" s="75"/>
      <c r="AU32" s="75"/>
      <c r="AV32" s="75"/>
      <c r="AW32" s="75"/>
      <c r="AX32" s="75"/>
      <c r="AY32" s="75"/>
      <c r="AZ32" s="75"/>
      <c r="BA32" s="74"/>
      <c r="BB32" s="74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9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>
      <c r="A33" s="2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82"/>
      <c r="AB33" s="69"/>
      <c r="AC33" s="5"/>
      <c r="AD33" s="5"/>
      <c r="AE33" s="5"/>
      <c r="AF33" s="5"/>
      <c r="AG33" s="6"/>
      <c r="AH33" s="6"/>
      <c r="AI33" s="6"/>
      <c r="AJ33" s="7"/>
      <c r="AK33" s="7"/>
      <c r="AL33" s="6"/>
      <c r="AM33" s="6"/>
      <c r="AN33" s="8"/>
      <c r="AO33" s="8"/>
      <c r="AP33" s="8"/>
      <c r="AQ33" s="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9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>
      <c r="A34" s="2"/>
      <c r="B34" s="2"/>
      <c r="C34" s="2"/>
      <c r="D34" s="2"/>
      <c r="E34" s="2"/>
      <c r="F34" s="1"/>
      <c r="G34" s="1"/>
      <c r="H34" s="1"/>
      <c r="I34" s="1" t="s">
        <v>15</v>
      </c>
      <c r="J34" s="1" t="s">
        <v>424</v>
      </c>
      <c r="K34" s="1" t="s">
        <v>106</v>
      </c>
      <c r="L34" s="1">
        <v>630.0</v>
      </c>
      <c r="M34" s="1">
        <v>800.0</v>
      </c>
      <c r="N34" s="1">
        <v>750.0</v>
      </c>
      <c r="O34" s="1">
        <v>350.0</v>
      </c>
      <c r="P34" s="1"/>
      <c r="Q34" s="1"/>
      <c r="R34" s="1"/>
      <c r="S34" s="1" t="s">
        <v>286</v>
      </c>
      <c r="T34" s="1"/>
      <c r="U34" s="1"/>
      <c r="V34" s="1"/>
      <c r="W34" s="1"/>
      <c r="X34" s="1" t="s">
        <v>425</v>
      </c>
      <c r="Y34" s="1"/>
      <c r="Z34" s="2">
        <v>1.0</v>
      </c>
      <c r="AA34" s="69">
        <v>1680000.0</v>
      </c>
      <c r="AB34" s="69">
        <f t="shared" ref="AB34:AB35" si="2">Z34*AA34</f>
        <v>1680000</v>
      </c>
      <c r="AC34" s="70"/>
      <c r="AD34" s="70"/>
      <c r="AE34" s="70"/>
      <c r="AF34" s="70"/>
      <c r="AG34" s="84">
        <v>850000.0</v>
      </c>
      <c r="AH34" s="6" t="s">
        <v>426</v>
      </c>
      <c r="AI34" s="6" t="s">
        <v>427</v>
      </c>
      <c r="AJ34" s="7">
        <v>1.0</v>
      </c>
      <c r="AK34" s="7" t="s">
        <v>403</v>
      </c>
      <c r="AL34" s="71">
        <f>AG34*AJ34</f>
        <v>850000</v>
      </c>
      <c r="AM34" s="6" t="s">
        <v>416</v>
      </c>
      <c r="AN34" s="72"/>
      <c r="AO34" s="73"/>
      <c r="AP34" s="72"/>
      <c r="AQ34" s="73"/>
      <c r="AR34" s="74"/>
      <c r="AS34" s="74"/>
      <c r="AT34" s="74"/>
      <c r="AU34" s="74"/>
      <c r="AV34" s="74"/>
      <c r="AW34" s="74"/>
      <c r="AX34" s="74"/>
      <c r="AY34" s="74">
        <v>850000.0</v>
      </c>
      <c r="AZ34" s="74"/>
      <c r="BA34" s="74"/>
      <c r="BB34" s="74"/>
      <c r="BC34" s="74">
        <v>1563250.0</v>
      </c>
      <c r="BD34" s="74"/>
      <c r="BE34" s="74"/>
      <c r="BF34" s="74"/>
      <c r="BG34" s="74"/>
      <c r="BH34" s="74">
        <f>AC36*5%</f>
        <v>0</v>
      </c>
      <c r="BI34" s="74"/>
      <c r="BJ34" s="74"/>
      <c r="BK34" s="74"/>
      <c r="BL34" s="85"/>
      <c r="BM34" s="74"/>
      <c r="BN34" s="74"/>
      <c r="BO34" s="74"/>
      <c r="BP34" s="86">
        <f>AC34*0.15</f>
        <v>0</v>
      </c>
      <c r="BQ34" s="74"/>
      <c r="BR34" s="87"/>
      <c r="BS34" s="80"/>
      <c r="BT34" s="80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>
      <c r="A35" s="2"/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69"/>
      <c r="AB35" s="69">
        <f t="shared" si="2"/>
        <v>0</v>
      </c>
      <c r="AC35" s="5"/>
      <c r="AD35" s="5"/>
      <c r="AE35" s="5"/>
      <c r="AF35" s="5"/>
      <c r="AG35" s="6"/>
      <c r="AH35" s="6"/>
      <c r="AI35" s="6"/>
      <c r="AJ35" s="7"/>
      <c r="AK35" s="7"/>
      <c r="AL35" s="6"/>
      <c r="AM35" s="6"/>
      <c r="AN35" s="83"/>
      <c r="AO35" s="8"/>
      <c r="AP35" s="83"/>
      <c r="AQ35" s="8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9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>
      <c r="A36" s="2"/>
      <c r="B36" s="2"/>
      <c r="C36" s="2"/>
      <c r="D36" s="2"/>
      <c r="E36" s="2"/>
      <c r="F36" s="1"/>
      <c r="G36" s="1"/>
      <c r="H36" s="1"/>
      <c r="I36" s="1" t="s">
        <v>15</v>
      </c>
      <c r="J36" s="1" t="s">
        <v>56</v>
      </c>
      <c r="K36" s="1" t="s">
        <v>106</v>
      </c>
      <c r="L36" s="1">
        <v>1100.0</v>
      </c>
      <c r="M36" s="1">
        <v>1100.0</v>
      </c>
      <c r="N36" s="1">
        <v>750.0</v>
      </c>
      <c r="O36" s="1">
        <v>350.0</v>
      </c>
      <c r="P36" s="1"/>
      <c r="Q36" s="1">
        <v>750.0</v>
      </c>
      <c r="R36" s="1"/>
      <c r="S36" s="1"/>
      <c r="T36" s="1"/>
      <c r="U36" s="1"/>
      <c r="V36" s="1" t="s">
        <v>428</v>
      </c>
      <c r="W36" s="1"/>
      <c r="X36" s="1"/>
      <c r="Y36" s="3" t="s">
        <v>429</v>
      </c>
      <c r="Z36" s="2">
        <v>4.0</v>
      </c>
      <c r="AA36" s="69">
        <v>2.86E7</v>
      </c>
      <c r="AB36" s="69">
        <v>2.86E7</v>
      </c>
      <c r="AC36" s="88"/>
      <c r="AD36" s="88"/>
      <c r="AE36" s="88"/>
      <c r="AF36" s="88"/>
      <c r="AG36" s="71">
        <v>400000.0</v>
      </c>
      <c r="AH36" s="6" t="s">
        <v>430</v>
      </c>
      <c r="AI36" s="6" t="s">
        <v>431</v>
      </c>
      <c r="AJ36" s="7">
        <v>5.0</v>
      </c>
      <c r="AK36" s="7" t="s">
        <v>415</v>
      </c>
      <c r="AL36" s="71">
        <f t="shared" ref="AL36:AL42" si="3">AG36*AJ36</f>
        <v>2000000</v>
      </c>
      <c r="AM36" s="6" t="s">
        <v>416</v>
      </c>
      <c r="AN36" s="8"/>
      <c r="AO36" s="8"/>
      <c r="AP36" s="8"/>
      <c r="AQ36" s="8"/>
      <c r="AR36" s="74"/>
      <c r="AS36" s="74"/>
      <c r="AT36" s="74"/>
      <c r="AU36" s="74"/>
      <c r="AV36" s="74"/>
      <c r="AW36" s="74"/>
      <c r="AX36" s="74"/>
      <c r="AY36" s="74"/>
      <c r="AZ36" s="74"/>
      <c r="BA36" s="74">
        <v>2000000.0</v>
      </c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9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>
      <c r="A37" s="2"/>
      <c r="B37" s="2"/>
      <c r="C37" s="2"/>
      <c r="D37" s="2"/>
      <c r="E37" s="2"/>
      <c r="F37" s="1"/>
      <c r="G37" s="1"/>
      <c r="H37" s="1"/>
      <c r="I37" s="1" t="s">
        <v>15</v>
      </c>
      <c r="J37" s="89" t="s">
        <v>432</v>
      </c>
      <c r="K37" s="1" t="s">
        <v>106</v>
      </c>
      <c r="L37" s="1">
        <v>1100.0</v>
      </c>
      <c r="M37" s="1">
        <v>1100.0</v>
      </c>
      <c r="N37" s="1">
        <v>350.0</v>
      </c>
      <c r="O37" s="1">
        <v>350.0</v>
      </c>
      <c r="P37" s="1"/>
      <c r="Q37" s="1">
        <v>350.0</v>
      </c>
      <c r="R37" s="1"/>
      <c r="S37" s="1"/>
      <c r="T37" s="1"/>
      <c r="U37" s="1"/>
      <c r="V37" s="1" t="s">
        <v>428</v>
      </c>
      <c r="W37" s="1"/>
      <c r="X37" s="1"/>
      <c r="Y37" s="3" t="s">
        <v>429</v>
      </c>
      <c r="Z37" s="2">
        <v>1.0</v>
      </c>
      <c r="AA37" s="69"/>
      <c r="AB37" s="69">
        <f>Z37*AA37</f>
        <v>0</v>
      </c>
      <c r="AC37" s="88"/>
      <c r="AD37" s="88"/>
      <c r="AE37" s="88"/>
      <c r="AF37" s="88"/>
      <c r="AG37" s="71">
        <v>1350000.0</v>
      </c>
      <c r="AH37" s="6" t="s">
        <v>430</v>
      </c>
      <c r="AI37" s="6" t="s">
        <v>421</v>
      </c>
      <c r="AJ37" s="7">
        <v>5.0</v>
      </c>
      <c r="AK37" s="7" t="s">
        <v>415</v>
      </c>
      <c r="AL37" s="71">
        <f t="shared" si="3"/>
        <v>6750000</v>
      </c>
      <c r="AM37" s="6" t="s">
        <v>422</v>
      </c>
      <c r="AN37" s="8"/>
      <c r="AO37" s="8"/>
      <c r="AP37" s="8"/>
      <c r="AQ37" s="8"/>
      <c r="AR37" s="74"/>
      <c r="AS37" s="74"/>
      <c r="AT37" s="74"/>
      <c r="AU37" s="74"/>
      <c r="AV37" s="74"/>
      <c r="AW37" s="74"/>
      <c r="AX37" s="74"/>
      <c r="AY37" s="74"/>
      <c r="AZ37" s="74"/>
      <c r="BA37" s="74">
        <v>6750000.0</v>
      </c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9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>
      <c r="A38" s="2"/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69"/>
      <c r="AB38" s="69"/>
      <c r="AC38" s="5"/>
      <c r="AD38" s="5"/>
      <c r="AE38" s="5"/>
      <c r="AF38" s="5"/>
      <c r="AG38" s="71">
        <v>310800.0</v>
      </c>
      <c r="AH38" s="6" t="s">
        <v>433</v>
      </c>
      <c r="AI38" s="6" t="s">
        <v>434</v>
      </c>
      <c r="AJ38" s="7">
        <v>4.0</v>
      </c>
      <c r="AK38" s="7" t="s">
        <v>435</v>
      </c>
      <c r="AL38" s="71">
        <f t="shared" si="3"/>
        <v>1243200</v>
      </c>
      <c r="AM38" s="6" t="s">
        <v>329</v>
      </c>
      <c r="AN38" s="8"/>
      <c r="AO38" s="8"/>
      <c r="AP38" s="8"/>
      <c r="AQ38" s="8"/>
      <c r="AR38" s="74"/>
      <c r="AS38" s="74"/>
      <c r="AT38" s="74"/>
      <c r="AU38" s="74">
        <v>1243400.0</v>
      </c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9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>
      <c r="A39" s="2"/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69"/>
      <c r="AB39" s="69"/>
      <c r="AC39" s="5"/>
      <c r="AD39" s="5"/>
      <c r="AE39" s="5"/>
      <c r="AF39" s="5"/>
      <c r="AG39" s="71">
        <v>499500.0</v>
      </c>
      <c r="AH39" s="6" t="s">
        <v>285</v>
      </c>
      <c r="AI39" s="6" t="s">
        <v>436</v>
      </c>
      <c r="AJ39" s="7">
        <v>2.0</v>
      </c>
      <c r="AK39" s="7" t="s">
        <v>435</v>
      </c>
      <c r="AL39" s="71">
        <f t="shared" si="3"/>
        <v>999000</v>
      </c>
      <c r="AM39" s="6" t="s">
        <v>329</v>
      </c>
      <c r="AN39" s="8"/>
      <c r="AO39" s="8"/>
      <c r="AP39" s="8"/>
      <c r="AQ39" s="8"/>
      <c r="AR39" s="74"/>
      <c r="AS39" s="74"/>
      <c r="AT39" s="74"/>
      <c r="AU39" s="74">
        <v>999000.0</v>
      </c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9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>
      <c r="A40" s="2"/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69"/>
      <c r="AB40" s="69"/>
      <c r="AC40" s="5"/>
      <c r="AD40" s="5"/>
      <c r="AE40" s="5"/>
      <c r="AF40" s="5"/>
      <c r="AG40" s="71">
        <v>190000.0</v>
      </c>
      <c r="AH40" s="6" t="s">
        <v>282</v>
      </c>
      <c r="AI40" s="6" t="s">
        <v>437</v>
      </c>
      <c r="AJ40" s="7">
        <v>15.0</v>
      </c>
      <c r="AK40" s="7" t="s">
        <v>280</v>
      </c>
      <c r="AL40" s="71">
        <f t="shared" si="3"/>
        <v>2850000</v>
      </c>
      <c r="AM40" s="6" t="s">
        <v>329</v>
      </c>
      <c r="AN40" s="8"/>
      <c r="AO40" s="8"/>
      <c r="AP40" s="8"/>
      <c r="AQ40" s="8"/>
      <c r="AR40" s="74">
        <v>2850000.0</v>
      </c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9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>
      <c r="A41" s="2"/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69"/>
      <c r="AB41" s="69"/>
      <c r="AC41" s="5"/>
      <c r="AD41" s="5"/>
      <c r="AE41" s="5"/>
      <c r="AF41" s="5"/>
      <c r="AG41" s="90">
        <v>120000.0</v>
      </c>
      <c r="AH41" s="6" t="s">
        <v>438</v>
      </c>
      <c r="AI41" s="6" t="s">
        <v>309</v>
      </c>
      <c r="AJ41" s="7">
        <v>1.0</v>
      </c>
      <c r="AK41" s="7" t="s">
        <v>439</v>
      </c>
      <c r="AL41" s="71">
        <f t="shared" si="3"/>
        <v>120000</v>
      </c>
      <c r="AM41" s="6" t="s">
        <v>329</v>
      </c>
      <c r="AN41" s="8"/>
      <c r="AO41" s="8"/>
      <c r="AP41" s="8"/>
      <c r="AQ41" s="8"/>
      <c r="AR41" s="74"/>
      <c r="AS41" s="74">
        <v>120000.0</v>
      </c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9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69"/>
      <c r="AB42" s="69"/>
      <c r="AC42" s="5"/>
      <c r="AD42" s="5"/>
      <c r="AE42" s="5"/>
      <c r="AF42" s="5"/>
      <c r="AG42" s="90">
        <v>80000.0</v>
      </c>
      <c r="AH42" s="6" t="s">
        <v>438</v>
      </c>
      <c r="AI42" s="6" t="s">
        <v>440</v>
      </c>
      <c r="AJ42" s="7">
        <v>1.0</v>
      </c>
      <c r="AK42" s="7" t="s">
        <v>439</v>
      </c>
      <c r="AL42" s="71">
        <f t="shared" si="3"/>
        <v>80000</v>
      </c>
      <c r="AM42" s="6" t="s">
        <v>329</v>
      </c>
      <c r="AN42" s="8"/>
      <c r="AO42" s="8"/>
      <c r="AP42" s="8"/>
      <c r="AQ42" s="8"/>
      <c r="AR42" s="74"/>
      <c r="AS42" s="74">
        <v>80000.0</v>
      </c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9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69"/>
      <c r="AB43" s="69"/>
      <c r="AC43" s="5"/>
      <c r="AD43" s="5"/>
      <c r="AE43" s="5"/>
      <c r="AF43" s="5"/>
      <c r="AG43" s="90"/>
      <c r="AH43" s="6"/>
      <c r="AI43" s="6"/>
      <c r="AJ43" s="7"/>
      <c r="AK43" s="7"/>
      <c r="AL43" s="6"/>
      <c r="AM43" s="6"/>
      <c r="AN43" s="8"/>
      <c r="AO43" s="8"/>
      <c r="AP43" s="8"/>
      <c r="AQ43" s="8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9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ht="30.75" customHeight="1">
      <c r="A44" s="2"/>
      <c r="B44" s="2"/>
      <c r="C44" s="2"/>
      <c r="D44" s="2"/>
      <c r="E44" s="2"/>
      <c r="F44" s="1"/>
      <c r="G44" s="1"/>
      <c r="H44" s="1"/>
      <c r="I44" s="1" t="s">
        <v>15</v>
      </c>
      <c r="J44" s="1" t="s">
        <v>37</v>
      </c>
      <c r="K44" s="1" t="s">
        <v>106</v>
      </c>
      <c r="L44" s="1">
        <v>1200.0</v>
      </c>
      <c r="M44" s="1">
        <v>800.0</v>
      </c>
      <c r="N44" s="1">
        <v>400.0</v>
      </c>
      <c r="O44" s="1"/>
      <c r="P44" s="1"/>
      <c r="Q44" s="1"/>
      <c r="R44" s="1"/>
      <c r="S44" s="1" t="s">
        <v>286</v>
      </c>
      <c r="T44" s="1"/>
      <c r="U44" s="1"/>
      <c r="V44" s="1"/>
      <c r="W44" s="1"/>
      <c r="X44" s="3" t="s">
        <v>441</v>
      </c>
      <c r="Y44" s="1" t="s">
        <v>442</v>
      </c>
      <c r="Z44" s="2">
        <v>1.0</v>
      </c>
      <c r="AA44" s="69">
        <v>3880000.0</v>
      </c>
      <c r="AB44" s="69">
        <f t="shared" ref="AB44:AB45" si="4">Z44*AA44</f>
        <v>3880000</v>
      </c>
      <c r="AC44" s="5"/>
      <c r="AD44" s="5"/>
      <c r="AE44" s="5"/>
      <c r="AF44" s="5"/>
      <c r="AG44" s="84">
        <v>1800000.0</v>
      </c>
      <c r="AH44" s="6" t="s">
        <v>443</v>
      </c>
      <c r="AI44" s="6" t="s">
        <v>414</v>
      </c>
      <c r="AJ44" s="7">
        <v>1.0</v>
      </c>
      <c r="AK44" s="7" t="s">
        <v>403</v>
      </c>
      <c r="AL44" s="71">
        <f t="shared" ref="AL44:AL45" si="5">AG44*AJ44</f>
        <v>1800000</v>
      </c>
      <c r="AM44" s="6" t="s">
        <v>416</v>
      </c>
      <c r="AN44" s="8"/>
      <c r="AO44" s="8"/>
      <c r="AP44" s="8"/>
      <c r="AQ44" s="8"/>
      <c r="AR44" s="74"/>
      <c r="AS44" s="74"/>
      <c r="AT44" s="74"/>
      <c r="AU44" s="74"/>
      <c r="AV44" s="74">
        <v>1800000.0</v>
      </c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69"/>
      <c r="AB45" s="69">
        <f t="shared" si="4"/>
        <v>0</v>
      </c>
      <c r="AC45" s="5"/>
      <c r="AD45" s="5"/>
      <c r="AE45" s="5"/>
      <c r="AF45" s="5"/>
      <c r="AG45" s="71">
        <v>3497000.0</v>
      </c>
      <c r="AH45" s="6" t="s">
        <v>337</v>
      </c>
      <c r="AI45" s="6" t="s">
        <v>444</v>
      </c>
      <c r="AJ45" s="7">
        <v>1.0</v>
      </c>
      <c r="AK45" s="7" t="s">
        <v>403</v>
      </c>
      <c r="AL45" s="71">
        <f t="shared" si="5"/>
        <v>3497000</v>
      </c>
      <c r="AM45" s="6" t="s">
        <v>419</v>
      </c>
      <c r="AN45" s="8"/>
      <c r="AO45" s="8"/>
      <c r="AP45" s="8"/>
      <c r="AQ45" s="8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>
        <v>3497000.0</v>
      </c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>
      <c r="A46" s="2"/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69"/>
      <c r="AB46" s="69"/>
      <c r="AC46" s="5"/>
      <c r="AD46" s="5"/>
      <c r="AE46" s="5"/>
      <c r="AF46" s="5"/>
      <c r="AG46" s="6"/>
      <c r="AH46" s="6"/>
      <c r="AI46" s="6"/>
      <c r="AJ46" s="7"/>
      <c r="AK46" s="7"/>
      <c r="AL46" s="6"/>
      <c r="AM46" s="6"/>
      <c r="AN46" s="8"/>
      <c r="AO46" s="8"/>
      <c r="AP46" s="8"/>
      <c r="AQ46" s="8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>
      <c r="A47" s="2"/>
      <c r="B47" s="2"/>
      <c r="C47" s="2"/>
      <c r="D47" s="2"/>
      <c r="E47" s="2"/>
      <c r="F47" s="1"/>
      <c r="G47" s="1"/>
      <c r="H47" s="1"/>
      <c r="I47" s="1" t="s">
        <v>15</v>
      </c>
      <c r="J47" s="1" t="s">
        <v>445</v>
      </c>
      <c r="K47" s="1" t="s">
        <v>106</v>
      </c>
      <c r="L47" s="1">
        <v>450.0</v>
      </c>
      <c r="M47" s="1">
        <v>450.0</v>
      </c>
      <c r="N47" s="1">
        <v>450.0</v>
      </c>
      <c r="O47" s="1"/>
      <c r="P47" s="1"/>
      <c r="Q47" s="1"/>
      <c r="R47" s="1"/>
      <c r="S47" s="1" t="s">
        <v>143</v>
      </c>
      <c r="T47" s="1"/>
      <c r="U47" s="1"/>
      <c r="V47" s="1"/>
      <c r="W47" s="1"/>
      <c r="X47" s="3" t="s">
        <v>446</v>
      </c>
      <c r="Y47" s="1" t="s">
        <v>442</v>
      </c>
      <c r="Z47" s="2">
        <v>3.0</v>
      </c>
      <c r="AA47" s="69">
        <v>1260000.0</v>
      </c>
      <c r="AB47" s="69">
        <f t="shared" ref="AB47:AB48" si="6">Z47*AA47</f>
        <v>3780000</v>
      </c>
      <c r="AC47" s="5"/>
      <c r="AD47" s="5"/>
      <c r="AE47" s="5"/>
      <c r="AF47" s="5"/>
      <c r="AG47" s="71">
        <v>300000.0</v>
      </c>
      <c r="AH47" s="6" t="s">
        <v>447</v>
      </c>
      <c r="AI47" s="6" t="s">
        <v>414</v>
      </c>
      <c r="AJ47" s="7">
        <v>3.0</v>
      </c>
      <c r="AK47" s="7" t="s">
        <v>415</v>
      </c>
      <c r="AL47" s="71">
        <f t="shared" ref="AL47:AL48" si="7">AG47*AJ47</f>
        <v>900000</v>
      </c>
      <c r="AM47" s="6" t="s">
        <v>416</v>
      </c>
      <c r="AN47" s="8"/>
      <c r="AO47" s="8"/>
      <c r="AP47" s="8"/>
      <c r="AQ47" s="8"/>
      <c r="AR47" s="74"/>
      <c r="AS47" s="74"/>
      <c r="AT47" s="74"/>
      <c r="AU47" s="74"/>
      <c r="AV47" s="74"/>
      <c r="AW47" s="74"/>
      <c r="AX47" s="74"/>
      <c r="AY47" s="74">
        <v>900000.0</v>
      </c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9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>
      <c r="A48" s="2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69"/>
      <c r="AB48" s="69">
        <f t="shared" si="6"/>
        <v>0</v>
      </c>
      <c r="AC48" s="5"/>
      <c r="AD48" s="5"/>
      <c r="AE48" s="5"/>
      <c r="AF48" s="5"/>
      <c r="AG48" s="71">
        <v>923700.0</v>
      </c>
      <c r="AH48" s="6" t="s">
        <v>337</v>
      </c>
      <c r="AI48" s="6" t="s">
        <v>444</v>
      </c>
      <c r="AJ48" s="7">
        <v>3.0</v>
      </c>
      <c r="AK48" s="7" t="s">
        <v>415</v>
      </c>
      <c r="AL48" s="71">
        <f t="shared" si="7"/>
        <v>2771100</v>
      </c>
      <c r="AM48" s="6" t="s">
        <v>419</v>
      </c>
      <c r="AN48" s="8"/>
      <c r="AO48" s="8"/>
      <c r="AP48" s="8"/>
      <c r="AQ48" s="8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>
        <v>2771100.0</v>
      </c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9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>
      <c r="A49" s="2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69"/>
      <c r="AB49" s="69"/>
      <c r="AC49" s="5"/>
      <c r="AD49" s="5"/>
      <c r="AE49" s="5"/>
      <c r="AF49" s="5"/>
      <c r="AG49" s="71"/>
      <c r="AH49" s="6"/>
      <c r="AI49" s="6"/>
      <c r="AJ49" s="7"/>
      <c r="AK49" s="7"/>
      <c r="AL49" s="6"/>
      <c r="AM49" s="6"/>
      <c r="AN49" s="8"/>
      <c r="AO49" s="8"/>
      <c r="AP49" s="8"/>
      <c r="AQ49" s="8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9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>
      <c r="A50" s="2"/>
      <c r="B50" s="2"/>
      <c r="C50" s="2"/>
      <c r="D50" s="2"/>
      <c r="E50" s="2"/>
      <c r="F50" s="1"/>
      <c r="G50" s="1"/>
      <c r="H50" s="1"/>
      <c r="I50" s="1" t="s">
        <v>15</v>
      </c>
      <c r="J50" s="1" t="s">
        <v>448</v>
      </c>
      <c r="K50" s="1" t="s">
        <v>106</v>
      </c>
      <c r="L50" s="1">
        <v>400.0</v>
      </c>
      <c r="M50" s="1">
        <v>400.0</v>
      </c>
      <c r="N50" s="1">
        <v>420.0</v>
      </c>
      <c r="O50" s="1"/>
      <c r="P50" s="1"/>
      <c r="Q50" s="1"/>
      <c r="R50" s="1"/>
      <c r="S50" s="1" t="s">
        <v>143</v>
      </c>
      <c r="T50" s="1"/>
      <c r="U50" s="1"/>
      <c r="V50" s="1"/>
      <c r="W50" s="1"/>
      <c r="X50" s="3" t="s">
        <v>449</v>
      </c>
      <c r="Y50" s="1" t="s">
        <v>442</v>
      </c>
      <c r="Z50" s="2">
        <v>2.0</v>
      </c>
      <c r="AA50" s="69">
        <v>1700000.0</v>
      </c>
      <c r="AB50" s="69">
        <f>Z50*AA50</f>
        <v>3400000</v>
      </c>
      <c r="AC50" s="5"/>
      <c r="AD50" s="5"/>
      <c r="AE50" s="5"/>
      <c r="AF50" s="5"/>
      <c r="AG50" s="71">
        <v>430000.0</v>
      </c>
      <c r="AH50" s="6" t="s">
        <v>447</v>
      </c>
      <c r="AI50" s="6" t="s">
        <v>414</v>
      </c>
      <c r="AJ50" s="7">
        <v>2.0</v>
      </c>
      <c r="AK50" s="7" t="s">
        <v>415</v>
      </c>
      <c r="AL50" s="71">
        <f t="shared" ref="AL50:AL51" si="8">AG50*AJ50</f>
        <v>860000</v>
      </c>
      <c r="AM50" s="6" t="s">
        <v>416</v>
      </c>
      <c r="AN50" s="8"/>
      <c r="AO50" s="8"/>
      <c r="AP50" s="8"/>
      <c r="AQ50" s="8"/>
      <c r="AR50" s="74"/>
      <c r="AS50" s="74"/>
      <c r="AT50" s="74"/>
      <c r="AU50" s="74"/>
      <c r="AV50" s="74"/>
      <c r="AW50" s="74"/>
      <c r="AX50" s="74"/>
      <c r="AY50" s="74">
        <v>860000.0</v>
      </c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9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>
      <c r="A51" s="2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 t="s">
        <v>450</v>
      </c>
      <c r="Y51" s="1"/>
      <c r="Z51" s="2"/>
      <c r="AA51" s="69"/>
      <c r="AB51" s="69"/>
      <c r="AC51" s="5"/>
      <c r="AD51" s="5"/>
      <c r="AE51" s="5"/>
      <c r="AF51" s="5"/>
      <c r="AG51" s="71">
        <v>945713.0</v>
      </c>
      <c r="AH51" s="6" t="s">
        <v>337</v>
      </c>
      <c r="AI51" s="6" t="s">
        <v>444</v>
      </c>
      <c r="AJ51" s="7">
        <v>2.0</v>
      </c>
      <c r="AK51" s="7" t="s">
        <v>415</v>
      </c>
      <c r="AL51" s="71">
        <f t="shared" si="8"/>
        <v>1891426</v>
      </c>
      <c r="AM51" s="6" t="s">
        <v>419</v>
      </c>
      <c r="AN51" s="8"/>
      <c r="AO51" s="8"/>
      <c r="AP51" s="8"/>
      <c r="AQ51" s="8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>
        <v>1891426.0</v>
      </c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9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>
      <c r="A52" s="2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69"/>
      <c r="AB52" s="69"/>
      <c r="AC52" s="5"/>
      <c r="AD52" s="5"/>
      <c r="AE52" s="5"/>
      <c r="AF52" s="5"/>
      <c r="AG52" s="6"/>
      <c r="AH52" s="6"/>
      <c r="AI52" s="6"/>
      <c r="AJ52" s="7"/>
      <c r="AK52" s="7"/>
      <c r="AL52" s="6"/>
      <c r="AM52" s="6"/>
      <c r="AN52" s="8"/>
      <c r="AO52" s="8"/>
      <c r="AP52" s="8"/>
      <c r="AQ52" s="8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9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>
      <c r="A53" s="2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69"/>
      <c r="AB53" s="69"/>
      <c r="AC53" s="5"/>
      <c r="AD53" s="5"/>
      <c r="AE53" s="5"/>
      <c r="AF53" s="5"/>
      <c r="AG53" s="6"/>
      <c r="AH53" s="6"/>
      <c r="AI53" s="6"/>
      <c r="AJ53" s="7"/>
      <c r="AK53" s="7"/>
      <c r="AL53" s="6"/>
      <c r="AM53" s="6"/>
      <c r="AN53" s="8"/>
      <c r="AO53" s="8"/>
      <c r="AP53" s="8"/>
      <c r="AQ53" s="8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9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>
      <c r="A54" s="2"/>
      <c r="B54" s="2"/>
      <c r="C54" s="2"/>
      <c r="D54" s="2"/>
      <c r="E54" s="2"/>
      <c r="F54" s="1"/>
      <c r="G54" s="1"/>
      <c r="H54" s="1"/>
      <c r="I54" s="1" t="s">
        <v>15</v>
      </c>
      <c r="J54" s="1" t="s">
        <v>85</v>
      </c>
      <c r="K54" s="1" t="s">
        <v>106</v>
      </c>
      <c r="L54" s="1">
        <v>400.0</v>
      </c>
      <c r="M54" s="1">
        <v>400.0</v>
      </c>
      <c r="N54" s="1">
        <v>400.0</v>
      </c>
      <c r="O54" s="1"/>
      <c r="P54" s="1"/>
      <c r="Q54" s="1"/>
      <c r="R54" s="1"/>
      <c r="S54" s="1" t="s">
        <v>143</v>
      </c>
      <c r="T54" s="1"/>
      <c r="U54" s="1"/>
      <c r="V54" s="1"/>
      <c r="W54" s="1"/>
      <c r="X54" s="3" t="s">
        <v>441</v>
      </c>
      <c r="Y54" s="1"/>
      <c r="Z54" s="2">
        <v>6.0</v>
      </c>
      <c r="AA54" s="69">
        <v>1580000.0</v>
      </c>
      <c r="AB54" s="69">
        <f t="shared" ref="AB54:AB55" si="9">Z54*AA54</f>
        <v>9480000</v>
      </c>
      <c r="AC54" s="5"/>
      <c r="AD54" s="5"/>
      <c r="AE54" s="5"/>
      <c r="AF54" s="5"/>
      <c r="AG54" s="71">
        <v>550000.0</v>
      </c>
      <c r="AH54" s="6" t="s">
        <v>447</v>
      </c>
      <c r="AI54" s="6" t="s">
        <v>414</v>
      </c>
      <c r="AJ54" s="7">
        <v>6.0</v>
      </c>
      <c r="AK54" s="7" t="s">
        <v>415</v>
      </c>
      <c r="AL54" s="71">
        <f t="shared" ref="AL54:AL55" si="10">AG54*AJ54</f>
        <v>3300000</v>
      </c>
      <c r="AM54" s="6" t="s">
        <v>416</v>
      </c>
      <c r="AN54" s="8"/>
      <c r="AO54" s="8"/>
      <c r="AP54" s="8"/>
      <c r="AQ54" s="8"/>
      <c r="AR54" s="74"/>
      <c r="AS54" s="74"/>
      <c r="AT54" s="74"/>
      <c r="AU54" s="74"/>
      <c r="AV54" s="74"/>
      <c r="AW54" s="74"/>
      <c r="AX54" s="74"/>
      <c r="AY54" s="74">
        <v>3300000.0</v>
      </c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9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>
      <c r="A55" s="2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69"/>
      <c r="AB55" s="69">
        <f t="shared" si="9"/>
        <v>0</v>
      </c>
      <c r="AC55" s="5"/>
      <c r="AD55" s="5"/>
      <c r="AE55" s="5"/>
      <c r="AF55" s="5"/>
      <c r="AG55" s="71">
        <v>1092249.0</v>
      </c>
      <c r="AH55" s="6" t="s">
        <v>337</v>
      </c>
      <c r="AI55" s="6" t="s">
        <v>444</v>
      </c>
      <c r="AJ55" s="7">
        <v>6.0</v>
      </c>
      <c r="AK55" s="7" t="s">
        <v>415</v>
      </c>
      <c r="AL55" s="71">
        <f t="shared" si="10"/>
        <v>6553494</v>
      </c>
      <c r="AM55" s="6" t="s">
        <v>419</v>
      </c>
      <c r="AN55" s="8"/>
      <c r="AO55" s="8"/>
      <c r="AP55" s="8"/>
      <c r="AQ55" s="8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>
        <v>6553494.0</v>
      </c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9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>
      <c r="A56" s="2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69"/>
      <c r="AB56" s="69"/>
      <c r="AC56" s="5"/>
      <c r="AD56" s="5"/>
      <c r="AE56" s="5"/>
      <c r="AF56" s="5"/>
      <c r="AG56" s="71"/>
      <c r="AH56" s="6"/>
      <c r="AI56" s="6"/>
      <c r="AJ56" s="7"/>
      <c r="AK56" s="7"/>
      <c r="AL56" s="6"/>
      <c r="AM56" s="6"/>
      <c r="AN56" s="8"/>
      <c r="AO56" s="8"/>
      <c r="AP56" s="8"/>
      <c r="AQ56" s="8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9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>
      <c r="A57" s="2"/>
      <c r="B57" s="2"/>
      <c r="C57" s="2"/>
      <c r="D57" s="2"/>
      <c r="E57" s="2"/>
      <c r="F57" s="1"/>
      <c r="G57" s="1"/>
      <c r="H57" s="1"/>
      <c r="I57" s="1" t="s">
        <v>15</v>
      </c>
      <c r="J57" s="1" t="s">
        <v>81</v>
      </c>
      <c r="K57" s="1" t="s">
        <v>106</v>
      </c>
      <c r="L57" s="1">
        <v>1650.0</v>
      </c>
      <c r="M57" s="1">
        <v>500.0</v>
      </c>
      <c r="N57" s="1">
        <v>300.0</v>
      </c>
      <c r="O57" s="1"/>
      <c r="P57" s="1"/>
      <c r="Q57" s="1"/>
      <c r="R57" s="1"/>
      <c r="S57" s="1" t="s">
        <v>286</v>
      </c>
      <c r="T57" s="1"/>
      <c r="U57" s="1"/>
      <c r="V57" s="1" t="s">
        <v>451</v>
      </c>
      <c r="W57" s="1"/>
      <c r="X57" s="3" t="s">
        <v>441</v>
      </c>
      <c r="Y57" s="1" t="s">
        <v>452</v>
      </c>
      <c r="Z57" s="2">
        <v>2.0</v>
      </c>
      <c r="AA57" s="69">
        <v>1880000.0</v>
      </c>
      <c r="AB57" s="69">
        <f>Z57*AA57</f>
        <v>3760000</v>
      </c>
      <c r="AC57" s="5"/>
      <c r="AD57" s="5"/>
      <c r="AE57" s="5"/>
      <c r="AF57" s="5"/>
      <c r="AG57" s="71">
        <v>650000.0</v>
      </c>
      <c r="AH57" s="6" t="s">
        <v>426</v>
      </c>
      <c r="AI57" s="6" t="s">
        <v>427</v>
      </c>
      <c r="AJ57" s="7">
        <v>2.0</v>
      </c>
      <c r="AK57" s="7" t="s">
        <v>415</v>
      </c>
      <c r="AL57" s="71">
        <f t="shared" ref="AL57:AL62" si="11">AG57*AJ57</f>
        <v>1300000</v>
      </c>
      <c r="AM57" s="6" t="s">
        <v>416</v>
      </c>
      <c r="AN57" s="8"/>
      <c r="AO57" s="8"/>
      <c r="AP57" s="8"/>
      <c r="AQ57" s="8"/>
      <c r="AR57" s="74"/>
      <c r="AS57" s="74"/>
      <c r="AT57" s="74"/>
      <c r="AU57" s="74"/>
      <c r="AV57" s="74"/>
      <c r="AW57" s="74"/>
      <c r="AX57" s="74"/>
      <c r="AY57" s="74">
        <v>1300000.0</v>
      </c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9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>
      <c r="A58" s="2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82"/>
      <c r="AB58" s="69"/>
      <c r="AC58" s="5"/>
      <c r="AD58" s="5"/>
      <c r="AE58" s="5"/>
      <c r="AF58" s="5"/>
      <c r="AG58" s="71">
        <v>190000.0</v>
      </c>
      <c r="AH58" s="6" t="s">
        <v>282</v>
      </c>
      <c r="AI58" s="6" t="s">
        <v>453</v>
      </c>
      <c r="AJ58" s="7">
        <v>2.0</v>
      </c>
      <c r="AK58" s="7" t="s">
        <v>280</v>
      </c>
      <c r="AL58" s="71">
        <f t="shared" si="11"/>
        <v>380000</v>
      </c>
      <c r="AM58" s="6" t="s">
        <v>329</v>
      </c>
      <c r="AN58" s="8"/>
      <c r="AO58" s="8"/>
      <c r="AP58" s="8"/>
      <c r="AQ58" s="8"/>
      <c r="AR58" s="74">
        <v>380000.0</v>
      </c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9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>
      <c r="A59" s="2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82"/>
      <c r="AB59" s="69"/>
      <c r="AC59" s="5"/>
      <c r="AD59" s="5"/>
      <c r="AE59" s="5"/>
      <c r="AF59" s="5"/>
      <c r="AG59" s="71">
        <v>310800.0</v>
      </c>
      <c r="AH59" s="6" t="s">
        <v>433</v>
      </c>
      <c r="AI59" s="6" t="s">
        <v>434</v>
      </c>
      <c r="AJ59" s="7">
        <v>1.0</v>
      </c>
      <c r="AK59" s="7" t="s">
        <v>280</v>
      </c>
      <c r="AL59" s="71">
        <f t="shared" si="11"/>
        <v>310800</v>
      </c>
      <c r="AM59" s="6" t="s">
        <v>329</v>
      </c>
      <c r="AN59" s="8"/>
      <c r="AO59" s="8"/>
      <c r="AP59" s="8"/>
      <c r="AQ59" s="8"/>
      <c r="AR59" s="74"/>
      <c r="AS59" s="74"/>
      <c r="AT59" s="74"/>
      <c r="AU59" s="74">
        <v>310800.0</v>
      </c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9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>
      <c r="A60" s="2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82"/>
      <c r="AB60" s="69"/>
      <c r="AC60" s="5"/>
      <c r="AD60" s="5"/>
      <c r="AE60" s="5"/>
      <c r="AF60" s="5"/>
      <c r="AG60" s="71">
        <v>499500.0</v>
      </c>
      <c r="AH60" s="6" t="s">
        <v>285</v>
      </c>
      <c r="AI60" s="6" t="s">
        <v>436</v>
      </c>
      <c r="AJ60" s="7">
        <v>1.0</v>
      </c>
      <c r="AK60" s="7" t="s">
        <v>280</v>
      </c>
      <c r="AL60" s="71">
        <f t="shared" si="11"/>
        <v>499500</v>
      </c>
      <c r="AM60" s="6" t="s">
        <v>329</v>
      </c>
      <c r="AN60" s="8"/>
      <c r="AO60" s="8"/>
      <c r="AP60" s="8"/>
      <c r="AQ60" s="8"/>
      <c r="AR60" s="74"/>
      <c r="AS60" s="74"/>
      <c r="AT60" s="74"/>
      <c r="AU60" s="74">
        <v>499500.0</v>
      </c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9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>
      <c r="A61" s="2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82"/>
      <c r="AB61" s="69"/>
      <c r="AC61" s="5"/>
      <c r="AD61" s="5"/>
      <c r="AE61" s="5"/>
      <c r="AF61" s="5"/>
      <c r="AG61" s="71">
        <v>400000.0</v>
      </c>
      <c r="AH61" s="6" t="s">
        <v>430</v>
      </c>
      <c r="AI61" s="6" t="s">
        <v>421</v>
      </c>
      <c r="AJ61" s="7">
        <v>2.0</v>
      </c>
      <c r="AK61" s="7" t="s">
        <v>415</v>
      </c>
      <c r="AL61" s="71">
        <f t="shared" si="11"/>
        <v>800000</v>
      </c>
      <c r="AM61" s="6" t="s">
        <v>422</v>
      </c>
      <c r="AN61" s="8"/>
      <c r="AO61" s="8"/>
      <c r="AP61" s="8"/>
      <c r="AQ61" s="8"/>
      <c r="AR61" s="74"/>
      <c r="AS61" s="74"/>
      <c r="AT61" s="74"/>
      <c r="AU61" s="74"/>
      <c r="AV61" s="74"/>
      <c r="AW61" s="74"/>
      <c r="AX61" s="74"/>
      <c r="AY61" s="74"/>
      <c r="AZ61" s="74"/>
      <c r="BA61" s="74">
        <v>800000.0</v>
      </c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9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>
      <c r="A62" s="2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82"/>
      <c r="AB62" s="69"/>
      <c r="AC62" s="5"/>
      <c r="AD62" s="5"/>
      <c r="AE62" s="5"/>
      <c r="AF62" s="5"/>
      <c r="AG62" s="71">
        <v>1526750.0</v>
      </c>
      <c r="AH62" s="6" t="s">
        <v>337</v>
      </c>
      <c r="AI62" s="6" t="s">
        <v>444</v>
      </c>
      <c r="AJ62" s="7">
        <v>2.0</v>
      </c>
      <c r="AK62" s="7" t="s">
        <v>415</v>
      </c>
      <c r="AL62" s="71">
        <f t="shared" si="11"/>
        <v>3053500</v>
      </c>
      <c r="AM62" s="6" t="s">
        <v>419</v>
      </c>
      <c r="AN62" s="8"/>
      <c r="AO62" s="8"/>
      <c r="AP62" s="8"/>
      <c r="AQ62" s="8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>
        <v>3053500.0</v>
      </c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9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>
      <c r="A63" s="2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82"/>
      <c r="AB63" s="69"/>
      <c r="AC63" s="5"/>
      <c r="AD63" s="5"/>
      <c r="AE63" s="5"/>
      <c r="AF63" s="5"/>
      <c r="AG63" s="6"/>
      <c r="AH63" s="6"/>
      <c r="AI63" s="6"/>
      <c r="AJ63" s="7"/>
      <c r="AK63" s="7"/>
      <c r="AL63" s="6"/>
      <c r="AM63" s="6"/>
      <c r="AN63" s="8"/>
      <c r="AO63" s="8"/>
      <c r="AP63" s="8"/>
      <c r="AQ63" s="8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9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>
      <c r="A64" s="2"/>
      <c r="B64" s="2"/>
      <c r="C64" s="2"/>
      <c r="D64" s="2"/>
      <c r="E64" s="2"/>
      <c r="F64" s="1"/>
      <c r="G64" s="1"/>
      <c r="H64" s="1"/>
      <c r="I64" s="1" t="s">
        <v>15</v>
      </c>
      <c r="J64" s="1" t="s">
        <v>454</v>
      </c>
      <c r="K64" s="1" t="s">
        <v>106</v>
      </c>
      <c r="L64" s="1">
        <v>550.0</v>
      </c>
      <c r="M64" s="1">
        <v>550.0</v>
      </c>
      <c r="N64" s="1">
        <v>800.0</v>
      </c>
      <c r="O64" s="1">
        <v>450.0</v>
      </c>
      <c r="P64" s="1"/>
      <c r="Q64" s="1">
        <v>800.0</v>
      </c>
      <c r="R64" s="1"/>
      <c r="S64" s="1" t="s">
        <v>286</v>
      </c>
      <c r="T64" s="1"/>
      <c r="U64" s="1"/>
      <c r="V64" s="1" t="s">
        <v>451</v>
      </c>
      <c r="W64" s="1"/>
      <c r="X64" s="3" t="s">
        <v>441</v>
      </c>
      <c r="Y64" s="1" t="s">
        <v>455</v>
      </c>
      <c r="Z64" s="2">
        <v>1.0</v>
      </c>
      <c r="AA64" s="69">
        <v>3380000.0</v>
      </c>
      <c r="AB64" s="69">
        <f t="shared" ref="AB64:AB65" si="12">Z64*AA64</f>
        <v>3380000</v>
      </c>
      <c r="AC64" s="5"/>
      <c r="AD64" s="5"/>
      <c r="AE64" s="5"/>
      <c r="AF64" s="5"/>
      <c r="AG64" s="71">
        <v>500000.0</v>
      </c>
      <c r="AH64" s="6" t="s">
        <v>426</v>
      </c>
      <c r="AI64" s="6" t="s">
        <v>414</v>
      </c>
      <c r="AJ64" s="7">
        <v>1.0</v>
      </c>
      <c r="AK64" s="7" t="s">
        <v>403</v>
      </c>
      <c r="AL64" s="71">
        <f t="shared" ref="AL64:AL71" si="13">AG64*AJ64</f>
        <v>500000</v>
      </c>
      <c r="AM64" s="6" t="s">
        <v>416</v>
      </c>
      <c r="AN64" s="8"/>
      <c r="AO64" s="8"/>
      <c r="AP64" s="8"/>
      <c r="AQ64" s="8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9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>
      <c r="A65" s="2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69"/>
      <c r="AB65" s="69">
        <f t="shared" si="12"/>
        <v>0</v>
      </c>
      <c r="AC65" s="5"/>
      <c r="AD65" s="5"/>
      <c r="AE65" s="5"/>
      <c r="AF65" s="5"/>
      <c r="AG65" s="71">
        <v>190000.0</v>
      </c>
      <c r="AH65" s="6" t="s">
        <v>282</v>
      </c>
      <c r="AI65" s="6" t="s">
        <v>453</v>
      </c>
      <c r="AJ65" s="7">
        <v>2.0</v>
      </c>
      <c r="AK65" s="7" t="s">
        <v>280</v>
      </c>
      <c r="AL65" s="71">
        <f t="shared" si="13"/>
        <v>380000</v>
      </c>
      <c r="AM65" s="6" t="s">
        <v>329</v>
      </c>
      <c r="AN65" s="8"/>
      <c r="AO65" s="8"/>
      <c r="AP65" s="8"/>
      <c r="AQ65" s="8"/>
      <c r="AR65" s="74">
        <v>380000.0</v>
      </c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9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>
      <c r="A66" s="2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69"/>
      <c r="AB66" s="69"/>
      <c r="AC66" s="5"/>
      <c r="AD66" s="5"/>
      <c r="AE66" s="5"/>
      <c r="AF66" s="5"/>
      <c r="AG66" s="71">
        <v>310800.0</v>
      </c>
      <c r="AH66" s="6" t="s">
        <v>433</v>
      </c>
      <c r="AI66" s="6" t="s">
        <v>434</v>
      </c>
      <c r="AJ66" s="7">
        <v>1.0</v>
      </c>
      <c r="AK66" s="7" t="s">
        <v>435</v>
      </c>
      <c r="AL66" s="71">
        <f t="shared" si="13"/>
        <v>310800</v>
      </c>
      <c r="AM66" s="6" t="s">
        <v>329</v>
      </c>
      <c r="AN66" s="8"/>
      <c r="AO66" s="8"/>
      <c r="AP66" s="8"/>
      <c r="AQ66" s="8"/>
      <c r="AR66" s="74"/>
      <c r="AS66" s="74"/>
      <c r="AT66" s="74"/>
      <c r="AU66" s="74">
        <v>310800.0</v>
      </c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9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>
      <c r="A67" s="2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69"/>
      <c r="AB67" s="69"/>
      <c r="AC67" s="5"/>
      <c r="AD67" s="5"/>
      <c r="AE67" s="5"/>
      <c r="AF67" s="5"/>
      <c r="AG67" s="71">
        <v>499500.0</v>
      </c>
      <c r="AH67" s="6" t="s">
        <v>285</v>
      </c>
      <c r="AI67" s="6" t="s">
        <v>436</v>
      </c>
      <c r="AJ67" s="7">
        <v>1.0</v>
      </c>
      <c r="AK67" s="7" t="s">
        <v>435</v>
      </c>
      <c r="AL67" s="71">
        <f t="shared" si="13"/>
        <v>499500</v>
      </c>
      <c r="AM67" s="6" t="s">
        <v>329</v>
      </c>
      <c r="AN67" s="8"/>
      <c r="AO67" s="8"/>
      <c r="AP67" s="8"/>
      <c r="AQ67" s="8"/>
      <c r="AR67" s="74"/>
      <c r="AS67" s="74"/>
      <c r="AT67" s="74"/>
      <c r="AU67" s="74">
        <v>499500.0</v>
      </c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9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>
      <c r="A68" s="2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69"/>
      <c r="AB68" s="69"/>
      <c r="AC68" s="5"/>
      <c r="AD68" s="5"/>
      <c r="AE68" s="5"/>
      <c r="AF68" s="5"/>
      <c r="AG68" s="71">
        <v>400000.0</v>
      </c>
      <c r="AH68" s="6" t="s">
        <v>430</v>
      </c>
      <c r="AI68" s="6" t="s">
        <v>421</v>
      </c>
      <c r="AJ68" s="7">
        <v>1.0</v>
      </c>
      <c r="AK68" s="7" t="s">
        <v>403</v>
      </c>
      <c r="AL68" s="71">
        <f t="shared" si="13"/>
        <v>400000</v>
      </c>
      <c r="AM68" s="6" t="s">
        <v>422</v>
      </c>
      <c r="AN68" s="8"/>
      <c r="AO68" s="8"/>
      <c r="AP68" s="8"/>
      <c r="AQ68" s="8"/>
      <c r="AR68" s="74"/>
      <c r="AS68" s="74"/>
      <c r="AT68" s="74"/>
      <c r="AU68" s="74"/>
      <c r="AV68" s="74"/>
      <c r="AW68" s="74"/>
      <c r="AX68" s="74"/>
      <c r="AY68" s="74"/>
      <c r="AZ68" s="74"/>
      <c r="BA68" s="74">
        <v>400000.0</v>
      </c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9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>
      <c r="A69" s="2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69"/>
      <c r="AB69" s="69"/>
      <c r="AC69" s="5"/>
      <c r="AD69" s="5"/>
      <c r="AE69" s="5"/>
      <c r="AF69" s="5"/>
      <c r="AG69" s="71">
        <v>1526750.0</v>
      </c>
      <c r="AH69" s="6" t="s">
        <v>337</v>
      </c>
      <c r="AI69" s="6" t="s">
        <v>444</v>
      </c>
      <c r="AJ69" s="7">
        <v>1.0</v>
      </c>
      <c r="AK69" s="7" t="s">
        <v>403</v>
      </c>
      <c r="AL69" s="71">
        <f t="shared" si="13"/>
        <v>1526750</v>
      </c>
      <c r="AM69" s="6" t="s">
        <v>307</v>
      </c>
      <c r="AN69" s="8"/>
      <c r="AO69" s="8"/>
      <c r="AP69" s="8"/>
      <c r="AQ69" s="8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>
        <v>1526750.0</v>
      </c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9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>
      <c r="A70" s="2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69"/>
      <c r="AB70" s="69"/>
      <c r="AC70" s="5"/>
      <c r="AD70" s="5"/>
      <c r="AE70" s="5"/>
      <c r="AF70" s="5"/>
      <c r="AG70" s="71">
        <v>150000.0</v>
      </c>
      <c r="AH70" s="6" t="s">
        <v>337</v>
      </c>
      <c r="AI70" s="6" t="s">
        <v>371</v>
      </c>
      <c r="AJ70" s="7">
        <v>1.0</v>
      </c>
      <c r="AK70" s="7" t="s">
        <v>403</v>
      </c>
      <c r="AL70" s="71">
        <f t="shared" si="13"/>
        <v>150000</v>
      </c>
      <c r="AM70" s="6" t="s">
        <v>329</v>
      </c>
      <c r="AN70" s="8"/>
      <c r="AO70" s="8"/>
      <c r="AP70" s="8"/>
      <c r="AQ70" s="8"/>
      <c r="AR70" s="74"/>
      <c r="AS70" s="74"/>
      <c r="AT70" s="74"/>
      <c r="AU70" s="74"/>
      <c r="AV70" s="74"/>
      <c r="AW70" s="74"/>
      <c r="AX70" s="74">
        <v>150000.0</v>
      </c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9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>
      <c r="A71" s="2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69"/>
      <c r="AB71" s="69"/>
      <c r="AC71" s="5"/>
      <c r="AD71" s="5"/>
      <c r="AE71" s="5"/>
      <c r="AF71" s="5"/>
      <c r="AG71" s="71">
        <v>200000.0</v>
      </c>
      <c r="AH71" s="6" t="s">
        <v>456</v>
      </c>
      <c r="AI71" s="6" t="s">
        <v>457</v>
      </c>
      <c r="AJ71" s="7">
        <v>1.0</v>
      </c>
      <c r="AK71" s="7" t="s">
        <v>403</v>
      </c>
      <c r="AL71" s="71">
        <f t="shared" si="13"/>
        <v>200000</v>
      </c>
      <c r="AM71" s="6" t="s">
        <v>307</v>
      </c>
      <c r="AN71" s="8"/>
      <c r="AO71" s="8"/>
      <c r="AP71" s="8"/>
      <c r="AQ71" s="8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>
        <v>200000.0</v>
      </c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9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>
      <c r="A72" s="2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69"/>
      <c r="AB72" s="69"/>
      <c r="AC72" s="5"/>
      <c r="AD72" s="5"/>
      <c r="AE72" s="5"/>
      <c r="AF72" s="5"/>
      <c r="AG72" s="6"/>
      <c r="AH72" s="6"/>
      <c r="AI72" s="6"/>
      <c r="AJ72" s="7"/>
      <c r="AK72" s="7"/>
      <c r="AL72" s="6"/>
      <c r="AM72" s="6"/>
      <c r="AN72" s="8"/>
      <c r="AO72" s="8"/>
      <c r="AP72" s="8"/>
      <c r="AQ72" s="8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9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>
      <c r="A73" s="2"/>
      <c r="B73" s="2"/>
      <c r="C73" s="2"/>
      <c r="D73" s="2"/>
      <c r="E73" s="2"/>
      <c r="F73" s="1"/>
      <c r="G73" s="1"/>
      <c r="H73" s="1"/>
      <c r="I73" s="1" t="s">
        <v>15</v>
      </c>
      <c r="J73" s="1" t="s">
        <v>458</v>
      </c>
      <c r="K73" s="1" t="s">
        <v>106</v>
      </c>
      <c r="L73" s="1">
        <v>2250.0</v>
      </c>
      <c r="M73" s="1">
        <v>500.0</v>
      </c>
      <c r="N73" s="1">
        <v>750.0</v>
      </c>
      <c r="O73" s="1"/>
      <c r="P73" s="1"/>
      <c r="Q73" s="1"/>
      <c r="R73" s="1"/>
      <c r="S73" s="1" t="s">
        <v>143</v>
      </c>
      <c r="T73" s="1"/>
      <c r="U73" s="1"/>
      <c r="V73" s="1"/>
      <c r="W73" s="1"/>
      <c r="X73" s="3" t="s">
        <v>441</v>
      </c>
      <c r="Y73" s="1" t="s">
        <v>455</v>
      </c>
      <c r="Z73" s="2">
        <v>1.0</v>
      </c>
      <c r="AA73" s="69">
        <v>6200000.0</v>
      </c>
      <c r="AB73" s="69">
        <f t="shared" ref="AB73:AB74" si="14">Z73*AA73</f>
        <v>6200000</v>
      </c>
      <c r="AC73" s="5"/>
      <c r="AD73" s="5"/>
      <c r="AE73" s="5"/>
      <c r="AF73" s="5"/>
      <c r="AG73" s="71">
        <v>1550000.0</v>
      </c>
      <c r="AH73" s="6" t="s">
        <v>447</v>
      </c>
      <c r="AI73" s="6" t="s">
        <v>414</v>
      </c>
      <c r="AJ73" s="7">
        <v>1.0</v>
      </c>
      <c r="AK73" s="7" t="s">
        <v>403</v>
      </c>
      <c r="AL73" s="71">
        <f t="shared" ref="AL73:AL74" si="15">AG73*AJ73</f>
        <v>1550000</v>
      </c>
      <c r="AM73" s="6" t="s">
        <v>416</v>
      </c>
      <c r="AN73" s="8"/>
      <c r="AO73" s="8"/>
      <c r="AP73" s="8"/>
      <c r="AQ73" s="8"/>
      <c r="AR73" s="74"/>
      <c r="AS73" s="74"/>
      <c r="AT73" s="74"/>
      <c r="AU73" s="74"/>
      <c r="AV73" s="74"/>
      <c r="AW73" s="74"/>
      <c r="AX73" s="74"/>
      <c r="AY73" s="74">
        <v>1550000.0</v>
      </c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9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>
      <c r="A74" s="2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69"/>
      <c r="AB74" s="69">
        <f t="shared" si="14"/>
        <v>0</v>
      </c>
      <c r="AC74" s="5"/>
      <c r="AD74" s="5"/>
      <c r="AE74" s="5"/>
      <c r="AF74" s="5"/>
      <c r="AG74" s="71">
        <v>1605000.0</v>
      </c>
      <c r="AH74" s="6" t="s">
        <v>337</v>
      </c>
      <c r="AI74" s="6" t="s">
        <v>444</v>
      </c>
      <c r="AJ74" s="7">
        <v>1.0</v>
      </c>
      <c r="AK74" s="7" t="s">
        <v>403</v>
      </c>
      <c r="AL74" s="71">
        <f t="shared" si="15"/>
        <v>1605000</v>
      </c>
      <c r="AM74" s="6" t="s">
        <v>419</v>
      </c>
      <c r="AN74" s="8"/>
      <c r="AO74" s="8"/>
      <c r="AP74" s="8"/>
      <c r="AQ74" s="8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>
        <v>1605000.0</v>
      </c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9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>
      <c r="A75" s="2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69"/>
      <c r="AB75" s="69"/>
      <c r="AC75" s="5"/>
      <c r="AD75" s="5"/>
      <c r="AE75" s="5"/>
      <c r="AF75" s="5"/>
      <c r="AG75" s="6"/>
      <c r="AH75" s="6"/>
      <c r="AI75" s="6"/>
      <c r="AJ75" s="7"/>
      <c r="AK75" s="7"/>
      <c r="AL75" s="6"/>
      <c r="AM75" s="6"/>
      <c r="AN75" s="8"/>
      <c r="AO75" s="8"/>
      <c r="AP75" s="8"/>
      <c r="AQ75" s="8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9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>
      <c r="A76" s="2"/>
      <c r="B76" s="2"/>
      <c r="C76" s="2"/>
      <c r="D76" s="2"/>
      <c r="E76" s="2"/>
      <c r="F76" s="1"/>
      <c r="G76" s="1"/>
      <c r="H76" s="1"/>
      <c r="I76" s="1" t="s">
        <v>15</v>
      </c>
      <c r="J76" s="1" t="s">
        <v>459</v>
      </c>
      <c r="K76" s="1"/>
      <c r="L76" s="1">
        <v>550.0</v>
      </c>
      <c r="M76" s="1">
        <v>575.0</v>
      </c>
      <c r="N76" s="1">
        <v>810.0</v>
      </c>
      <c r="O76" s="1">
        <v>450.0</v>
      </c>
      <c r="P76" s="1"/>
      <c r="Q76" s="1">
        <v>810.0</v>
      </c>
      <c r="R76" s="1"/>
      <c r="S76" s="1" t="s">
        <v>286</v>
      </c>
      <c r="T76" s="1"/>
      <c r="U76" s="1"/>
      <c r="V76" s="1" t="s">
        <v>451</v>
      </c>
      <c r="W76" s="1"/>
      <c r="X76" s="3" t="s">
        <v>441</v>
      </c>
      <c r="Y76" s="1" t="s">
        <v>460</v>
      </c>
      <c r="Z76" s="2">
        <v>2.0</v>
      </c>
      <c r="AA76" s="69">
        <v>3580000.0</v>
      </c>
      <c r="AB76" s="69">
        <f t="shared" ref="AB76:AB77" si="16">Z76*AA76</f>
        <v>7160000</v>
      </c>
      <c r="AC76" s="5"/>
      <c r="AD76" s="5"/>
      <c r="AE76" s="5"/>
      <c r="AF76" s="5"/>
      <c r="AG76" s="71">
        <v>450000.0</v>
      </c>
      <c r="AH76" s="6" t="s">
        <v>426</v>
      </c>
      <c r="AI76" s="6" t="s">
        <v>414</v>
      </c>
      <c r="AJ76" s="7">
        <v>2.0</v>
      </c>
      <c r="AK76" s="7" t="s">
        <v>415</v>
      </c>
      <c r="AL76" s="71">
        <f t="shared" ref="AL76:AL81" si="17">AG76*AJ76</f>
        <v>900000</v>
      </c>
      <c r="AM76" s="6" t="s">
        <v>416</v>
      </c>
      <c r="AN76" s="8"/>
      <c r="AO76" s="8"/>
      <c r="AP76" s="8"/>
      <c r="AQ76" s="8"/>
      <c r="AR76" s="74"/>
      <c r="AS76" s="74"/>
      <c r="AT76" s="74"/>
      <c r="AU76" s="74"/>
      <c r="AV76" s="74"/>
      <c r="AW76" s="74"/>
      <c r="AX76" s="74"/>
      <c r="AY76" s="74">
        <v>900000.0</v>
      </c>
      <c r="AZ76" s="74"/>
      <c r="BA76" s="74"/>
      <c r="BB76" s="74"/>
      <c r="BC76" s="74"/>
      <c r="BD76" s="74"/>
      <c r="BE76" s="74">
        <v>900000.0</v>
      </c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9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>
      <c r="A77" s="2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69"/>
      <c r="AB77" s="69">
        <f t="shared" si="16"/>
        <v>0</v>
      </c>
      <c r="AC77" s="5"/>
      <c r="AD77" s="5"/>
      <c r="AE77" s="5"/>
      <c r="AF77" s="5"/>
      <c r="AG77" s="71">
        <v>190000.0</v>
      </c>
      <c r="AH77" s="6" t="s">
        <v>282</v>
      </c>
      <c r="AI77" s="6" t="s">
        <v>453</v>
      </c>
      <c r="AJ77" s="7">
        <v>4.0</v>
      </c>
      <c r="AK77" s="7" t="s">
        <v>280</v>
      </c>
      <c r="AL77" s="71">
        <f t="shared" si="17"/>
        <v>760000</v>
      </c>
      <c r="AM77" s="6" t="s">
        <v>329</v>
      </c>
      <c r="AN77" s="8"/>
      <c r="AO77" s="8"/>
      <c r="AP77" s="8"/>
      <c r="AQ77" s="8"/>
      <c r="AR77" s="74">
        <v>760000.0</v>
      </c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9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>
      <c r="A78" s="2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69"/>
      <c r="AB78" s="69"/>
      <c r="AC78" s="5"/>
      <c r="AD78" s="5"/>
      <c r="AE78" s="5"/>
      <c r="AF78" s="5"/>
      <c r="AG78" s="71">
        <v>310800.0</v>
      </c>
      <c r="AH78" s="6" t="s">
        <v>433</v>
      </c>
      <c r="AI78" s="6" t="s">
        <v>434</v>
      </c>
      <c r="AJ78" s="7">
        <v>1.0</v>
      </c>
      <c r="AK78" s="7" t="s">
        <v>435</v>
      </c>
      <c r="AL78" s="71">
        <f t="shared" si="17"/>
        <v>310800</v>
      </c>
      <c r="AM78" s="6" t="s">
        <v>329</v>
      </c>
      <c r="AN78" s="8"/>
      <c r="AO78" s="8"/>
      <c r="AP78" s="8"/>
      <c r="AQ78" s="8"/>
      <c r="AR78" s="74"/>
      <c r="AS78" s="74"/>
      <c r="AT78" s="74"/>
      <c r="AU78" s="74">
        <v>310800.0</v>
      </c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9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>
      <c r="A79" s="2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69"/>
      <c r="AB79" s="69"/>
      <c r="AC79" s="5"/>
      <c r="AD79" s="5"/>
      <c r="AE79" s="5"/>
      <c r="AF79" s="5"/>
      <c r="AG79" s="71">
        <v>499500.0</v>
      </c>
      <c r="AH79" s="6" t="s">
        <v>285</v>
      </c>
      <c r="AI79" s="6" t="s">
        <v>436</v>
      </c>
      <c r="AJ79" s="7">
        <v>1.0</v>
      </c>
      <c r="AK79" s="7" t="s">
        <v>435</v>
      </c>
      <c r="AL79" s="71">
        <f t="shared" si="17"/>
        <v>499500</v>
      </c>
      <c r="AM79" s="6" t="s">
        <v>329</v>
      </c>
      <c r="AN79" s="8"/>
      <c r="AO79" s="8"/>
      <c r="AP79" s="8"/>
      <c r="AQ79" s="8"/>
      <c r="AR79" s="74"/>
      <c r="AS79" s="74"/>
      <c r="AT79" s="74"/>
      <c r="AU79" s="74">
        <v>499500.0</v>
      </c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9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>
      <c r="A80" s="2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69"/>
      <c r="AB80" s="69"/>
      <c r="AC80" s="5"/>
      <c r="AD80" s="5"/>
      <c r="AE80" s="5"/>
      <c r="AF80" s="5"/>
      <c r="AG80" s="71">
        <v>400000.0</v>
      </c>
      <c r="AH80" s="6" t="s">
        <v>430</v>
      </c>
      <c r="AI80" s="6" t="s">
        <v>421</v>
      </c>
      <c r="AJ80" s="7">
        <v>2.0</v>
      </c>
      <c r="AK80" s="7" t="s">
        <v>415</v>
      </c>
      <c r="AL80" s="71">
        <f t="shared" si="17"/>
        <v>800000</v>
      </c>
      <c r="AM80" s="6" t="s">
        <v>422</v>
      </c>
      <c r="AN80" s="8"/>
      <c r="AO80" s="8"/>
      <c r="AP80" s="8"/>
      <c r="AQ80" s="8"/>
      <c r="AR80" s="74"/>
      <c r="AS80" s="74"/>
      <c r="AT80" s="74"/>
      <c r="AU80" s="74"/>
      <c r="AV80" s="74"/>
      <c r="AW80" s="74"/>
      <c r="AX80" s="74"/>
      <c r="AY80" s="74"/>
      <c r="AZ80" s="74"/>
      <c r="BA80" s="74">
        <v>800000.0</v>
      </c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9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>
      <c r="A81" s="2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69"/>
      <c r="AB81" s="69"/>
      <c r="AC81" s="5"/>
      <c r="AD81" s="5"/>
      <c r="AE81" s="5"/>
      <c r="AF81" s="5"/>
      <c r="AG81" s="71">
        <v>1537000.0</v>
      </c>
      <c r="AH81" s="6" t="s">
        <v>337</v>
      </c>
      <c r="AI81" s="6" t="s">
        <v>444</v>
      </c>
      <c r="AJ81" s="7">
        <v>2.0</v>
      </c>
      <c r="AK81" s="7" t="s">
        <v>415</v>
      </c>
      <c r="AL81" s="71">
        <f t="shared" si="17"/>
        <v>3074000</v>
      </c>
      <c r="AM81" s="6" t="s">
        <v>419</v>
      </c>
      <c r="AN81" s="8"/>
      <c r="AO81" s="8"/>
      <c r="AP81" s="8"/>
      <c r="AQ81" s="8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>
        <v>1537000.0</v>
      </c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9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>
      <c r="A82" s="2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69"/>
      <c r="AB82" s="69"/>
      <c r="AC82" s="5"/>
      <c r="AD82" s="5"/>
      <c r="AE82" s="5"/>
      <c r="AF82" s="5"/>
      <c r="AG82" s="6"/>
      <c r="AH82" s="6"/>
      <c r="AI82" s="6"/>
      <c r="AJ82" s="7"/>
      <c r="AK82" s="7"/>
      <c r="AL82" s="6"/>
      <c r="AM82" s="6"/>
      <c r="AN82" s="8"/>
      <c r="AO82" s="8"/>
      <c r="AP82" s="8"/>
      <c r="AQ82" s="8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9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>
      <c r="A83" s="2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  <c r="AA83" s="69"/>
      <c r="AB83" s="69"/>
      <c r="AC83" s="5"/>
      <c r="AD83" s="5"/>
      <c r="AE83" s="5"/>
      <c r="AF83" s="5"/>
      <c r="AG83" s="6"/>
      <c r="AH83" s="6"/>
      <c r="AI83" s="6"/>
      <c r="AJ83" s="7"/>
      <c r="AK83" s="7"/>
      <c r="AL83" s="6"/>
      <c r="AM83" s="6"/>
      <c r="AN83" s="8"/>
      <c r="AO83" s="8"/>
      <c r="AP83" s="8"/>
      <c r="AQ83" s="8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9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>
      <c r="A84" s="2"/>
      <c r="B84" s="2"/>
      <c r="C84" s="2"/>
      <c r="D84" s="2"/>
      <c r="E84" s="2"/>
      <c r="F84" s="1"/>
      <c r="G84" s="1"/>
      <c r="H84" s="1"/>
      <c r="I84" s="1" t="s">
        <v>15</v>
      </c>
      <c r="J84" s="1" t="s">
        <v>461</v>
      </c>
      <c r="K84" s="1" t="s">
        <v>106</v>
      </c>
      <c r="L84" s="1">
        <v>1650.0</v>
      </c>
      <c r="M84" s="1">
        <v>800.0</v>
      </c>
      <c r="N84" s="1">
        <v>450.0</v>
      </c>
      <c r="O84" s="1">
        <v>450.0</v>
      </c>
      <c r="P84" s="1"/>
      <c r="Q84" s="1"/>
      <c r="R84" s="1">
        <v>70.0</v>
      </c>
      <c r="S84" s="1"/>
      <c r="T84" s="1"/>
      <c r="U84" s="1"/>
      <c r="V84" s="1" t="s">
        <v>462</v>
      </c>
      <c r="W84" s="1" t="s">
        <v>216</v>
      </c>
      <c r="X84" s="1"/>
      <c r="Y84" s="1"/>
      <c r="Z84" s="2">
        <v>1.0</v>
      </c>
      <c r="AA84" s="69">
        <v>1.28E7</v>
      </c>
      <c r="AB84" s="69">
        <f t="shared" ref="AB84:AB85" si="18">Z84*AA84</f>
        <v>12800000</v>
      </c>
      <c r="AC84" s="5"/>
      <c r="AD84" s="5"/>
      <c r="AE84" s="5"/>
      <c r="AF84" s="5"/>
      <c r="AG84" s="71">
        <v>1150000.0</v>
      </c>
      <c r="AH84" s="6" t="s">
        <v>317</v>
      </c>
      <c r="AI84" s="6" t="s">
        <v>431</v>
      </c>
      <c r="AJ84" s="7">
        <v>1.0</v>
      </c>
      <c r="AK84" s="7" t="s">
        <v>403</v>
      </c>
      <c r="AL84" s="71">
        <f t="shared" ref="AL84:AL90" si="19">AG84*AJ84</f>
        <v>1150000</v>
      </c>
      <c r="AM84" s="6" t="s">
        <v>416</v>
      </c>
      <c r="AN84" s="8"/>
      <c r="AO84" s="8"/>
      <c r="AP84" s="8"/>
      <c r="AQ84" s="8"/>
      <c r="AR84" s="74"/>
      <c r="AS84" s="74"/>
      <c r="AT84" s="74"/>
      <c r="AU84" s="74"/>
      <c r="AV84" s="74"/>
      <c r="AW84" s="74"/>
      <c r="AX84" s="74"/>
      <c r="AY84" s="74"/>
      <c r="AZ84" s="74"/>
      <c r="BA84" s="74">
        <v>1150000.0</v>
      </c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9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>
      <c r="A85" s="2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69"/>
      <c r="AB85" s="69">
        <f t="shared" si="18"/>
        <v>0</v>
      </c>
      <c r="AC85" s="5"/>
      <c r="AD85" s="5"/>
      <c r="AE85" s="5"/>
      <c r="AF85" s="5"/>
      <c r="AG85" s="71">
        <v>700000.0</v>
      </c>
      <c r="AH85" s="6" t="s">
        <v>317</v>
      </c>
      <c r="AI85" s="6" t="s">
        <v>421</v>
      </c>
      <c r="AJ85" s="7">
        <v>1.0</v>
      </c>
      <c r="AK85" s="7" t="s">
        <v>403</v>
      </c>
      <c r="AL85" s="71">
        <f t="shared" si="19"/>
        <v>700000</v>
      </c>
      <c r="AM85" s="6" t="s">
        <v>422</v>
      </c>
      <c r="AN85" s="8"/>
      <c r="AO85" s="8"/>
      <c r="AP85" s="8"/>
      <c r="AQ85" s="8"/>
      <c r="AR85" s="74"/>
      <c r="AS85" s="74"/>
      <c r="AT85" s="74"/>
      <c r="AU85" s="74"/>
      <c r="AV85" s="74"/>
      <c r="AW85" s="74"/>
      <c r="AX85" s="74"/>
      <c r="AY85" s="74"/>
      <c r="AZ85" s="74"/>
      <c r="BA85" s="74">
        <v>700000.0</v>
      </c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9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>
      <c r="A86" s="2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69"/>
      <c r="AB86" s="69"/>
      <c r="AC86" s="5"/>
      <c r="AD86" s="5"/>
      <c r="AE86" s="5"/>
      <c r="AF86" s="5"/>
      <c r="AG86" s="71">
        <v>190000.0</v>
      </c>
      <c r="AH86" s="6" t="s">
        <v>282</v>
      </c>
      <c r="AI86" s="6" t="s">
        <v>437</v>
      </c>
      <c r="AJ86" s="7">
        <v>7.0</v>
      </c>
      <c r="AK86" s="7" t="s">
        <v>280</v>
      </c>
      <c r="AL86" s="71">
        <f t="shared" si="19"/>
        <v>1330000</v>
      </c>
      <c r="AM86" s="6" t="s">
        <v>329</v>
      </c>
      <c r="AN86" s="8"/>
      <c r="AO86" s="8"/>
      <c r="AP86" s="8"/>
      <c r="AQ86" s="8"/>
      <c r="AR86" s="74">
        <v>1330000.0</v>
      </c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9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>
      <c r="A87" s="2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  <c r="AA87" s="69"/>
      <c r="AB87" s="69"/>
      <c r="AC87" s="5"/>
      <c r="AD87" s="5"/>
      <c r="AE87" s="5"/>
      <c r="AF87" s="5"/>
      <c r="AG87" s="71">
        <v>310800.0</v>
      </c>
      <c r="AH87" s="6" t="s">
        <v>433</v>
      </c>
      <c r="AI87" s="6" t="s">
        <v>434</v>
      </c>
      <c r="AJ87" s="7">
        <v>2.0</v>
      </c>
      <c r="AK87" s="7" t="s">
        <v>435</v>
      </c>
      <c r="AL87" s="71">
        <f t="shared" si="19"/>
        <v>621600</v>
      </c>
      <c r="AM87" s="6" t="s">
        <v>329</v>
      </c>
      <c r="AN87" s="8"/>
      <c r="AO87" s="8"/>
      <c r="AP87" s="8"/>
      <c r="AQ87" s="8"/>
      <c r="AR87" s="74"/>
      <c r="AS87" s="74"/>
      <c r="AT87" s="74"/>
      <c r="AU87" s="74">
        <v>621600.0</v>
      </c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9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>
      <c r="A88" s="2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  <c r="AA88" s="69"/>
      <c r="AB88" s="69"/>
      <c r="AC88" s="5"/>
      <c r="AD88" s="5"/>
      <c r="AE88" s="5"/>
      <c r="AF88" s="5"/>
      <c r="AG88" s="71">
        <v>499500.0</v>
      </c>
      <c r="AH88" s="6" t="s">
        <v>285</v>
      </c>
      <c r="AI88" s="6" t="s">
        <v>436</v>
      </c>
      <c r="AJ88" s="7">
        <v>2.0</v>
      </c>
      <c r="AK88" s="7" t="s">
        <v>435</v>
      </c>
      <c r="AL88" s="71">
        <f t="shared" si="19"/>
        <v>999000</v>
      </c>
      <c r="AM88" s="6" t="s">
        <v>329</v>
      </c>
      <c r="AN88" s="8"/>
      <c r="AO88" s="8"/>
      <c r="AP88" s="8"/>
      <c r="AQ88" s="8"/>
      <c r="AR88" s="74"/>
      <c r="AS88" s="74"/>
      <c r="AT88" s="74"/>
      <c r="AU88" s="74">
        <v>999000.0</v>
      </c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9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>
      <c r="A89" s="2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  <c r="AA89" s="69"/>
      <c r="AB89" s="69"/>
      <c r="AC89" s="5"/>
      <c r="AD89" s="5"/>
      <c r="AE89" s="5"/>
      <c r="AF89" s="5"/>
      <c r="AG89" s="71">
        <v>33000.0</v>
      </c>
      <c r="AH89" s="6" t="s">
        <v>463</v>
      </c>
      <c r="AI89" s="6" t="s">
        <v>464</v>
      </c>
      <c r="AJ89" s="7">
        <v>5.0</v>
      </c>
      <c r="AK89" s="7" t="s">
        <v>415</v>
      </c>
      <c r="AL89" s="71">
        <f t="shared" si="19"/>
        <v>165000</v>
      </c>
      <c r="AM89" s="6" t="s">
        <v>465</v>
      </c>
      <c r="AN89" s="8"/>
      <c r="AO89" s="8"/>
      <c r="AP89" s="8"/>
      <c r="AQ89" s="8"/>
      <c r="AR89" s="74"/>
      <c r="AS89" s="74"/>
      <c r="AT89" s="74"/>
      <c r="AU89" s="74"/>
      <c r="AV89" s="74"/>
      <c r="AW89" s="74"/>
      <c r="AX89" s="74">
        <v>165000.0</v>
      </c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9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>
      <c r="A90" s="2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  <c r="AA90" s="69"/>
      <c r="AB90" s="69"/>
      <c r="AC90" s="5"/>
      <c r="AD90" s="5"/>
      <c r="AE90" s="5"/>
      <c r="AF90" s="5"/>
      <c r="AG90" s="71">
        <v>64000.0</v>
      </c>
      <c r="AH90" s="6" t="s">
        <v>426</v>
      </c>
      <c r="AI90" s="6" t="s">
        <v>466</v>
      </c>
      <c r="AJ90" s="7">
        <v>5.0</v>
      </c>
      <c r="AK90" s="7" t="s">
        <v>415</v>
      </c>
      <c r="AL90" s="71">
        <f t="shared" si="19"/>
        <v>320000</v>
      </c>
      <c r="AM90" s="6" t="s">
        <v>465</v>
      </c>
      <c r="AN90" s="8"/>
      <c r="AO90" s="8"/>
      <c r="AP90" s="8"/>
      <c r="AQ90" s="8"/>
      <c r="AR90" s="74"/>
      <c r="AS90" s="74"/>
      <c r="AT90" s="74"/>
      <c r="AU90" s="74"/>
      <c r="AV90" s="74"/>
      <c r="AW90" s="74"/>
      <c r="AX90" s="74">
        <v>320000.0</v>
      </c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9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>
      <c r="A91" s="2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  <c r="AA91" s="69"/>
      <c r="AB91" s="69"/>
      <c r="AC91" s="5"/>
      <c r="AD91" s="5"/>
      <c r="AE91" s="5"/>
      <c r="AF91" s="5"/>
      <c r="AG91" s="6"/>
      <c r="AH91" s="6"/>
      <c r="AI91" s="6"/>
      <c r="AJ91" s="7"/>
      <c r="AK91" s="7"/>
      <c r="AL91" s="6"/>
      <c r="AM91" s="6"/>
      <c r="AN91" s="8"/>
      <c r="AO91" s="8"/>
      <c r="AP91" s="8"/>
      <c r="AQ91" s="8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9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>
      <c r="A92" s="2"/>
      <c r="B92" s="2"/>
      <c r="C92" s="2"/>
      <c r="D92" s="2"/>
      <c r="E92" s="2"/>
      <c r="F92" s="1"/>
      <c r="G92" s="1"/>
      <c r="H92" s="1"/>
      <c r="I92" s="1" t="s">
        <v>15</v>
      </c>
      <c r="J92" s="1" t="s">
        <v>467</v>
      </c>
      <c r="K92" s="1" t="s">
        <v>106</v>
      </c>
      <c r="L92" s="1">
        <v>1294.0</v>
      </c>
      <c r="M92" s="1">
        <v>500.0</v>
      </c>
      <c r="N92" s="1">
        <v>750.0</v>
      </c>
      <c r="O92" s="1"/>
      <c r="P92" s="1"/>
      <c r="Q92" s="1"/>
      <c r="R92" s="1"/>
      <c r="S92" s="1"/>
      <c r="T92" s="1"/>
      <c r="U92" s="1"/>
      <c r="V92" s="1"/>
      <c r="W92" s="1"/>
      <c r="X92" s="3" t="s">
        <v>441</v>
      </c>
      <c r="Y92" s="1" t="s">
        <v>455</v>
      </c>
      <c r="Z92" s="2">
        <v>1.0</v>
      </c>
      <c r="AA92" s="69">
        <v>8180000.0</v>
      </c>
      <c r="AB92" s="69">
        <f t="shared" ref="AB92:AB93" si="20">Z92*AA92</f>
        <v>8180000</v>
      </c>
      <c r="AC92" s="5"/>
      <c r="AD92" s="5"/>
      <c r="AE92" s="5"/>
      <c r="AF92" s="5"/>
      <c r="AG92" s="71">
        <v>650000.0</v>
      </c>
      <c r="AH92" s="6" t="s">
        <v>426</v>
      </c>
      <c r="AI92" s="6" t="s">
        <v>431</v>
      </c>
      <c r="AJ92" s="7">
        <v>1.0</v>
      </c>
      <c r="AK92" s="7" t="s">
        <v>403</v>
      </c>
      <c r="AL92" s="71">
        <f t="shared" ref="AL92:AL94" si="21">AG92*AJ92</f>
        <v>650000</v>
      </c>
      <c r="AM92" s="6" t="s">
        <v>416</v>
      </c>
      <c r="AN92" s="8"/>
      <c r="AO92" s="8"/>
      <c r="AP92" s="8"/>
      <c r="AQ92" s="8"/>
      <c r="AR92" s="74"/>
      <c r="AS92" s="74"/>
      <c r="AT92" s="74"/>
      <c r="AU92" s="74"/>
      <c r="AV92" s="74"/>
      <c r="AW92" s="74"/>
      <c r="AX92" s="74"/>
      <c r="AY92" s="74">
        <v>650000.0</v>
      </c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9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>
      <c r="A93" s="2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 t="s">
        <v>468</v>
      </c>
      <c r="Z93" s="2"/>
      <c r="AA93" s="69"/>
      <c r="AB93" s="69">
        <f t="shared" si="20"/>
        <v>0</v>
      </c>
      <c r="AC93" s="5"/>
      <c r="AD93" s="5"/>
      <c r="AE93" s="5"/>
      <c r="AF93" s="5"/>
      <c r="AG93" s="71">
        <v>1000000.0</v>
      </c>
      <c r="AH93" s="6" t="s">
        <v>469</v>
      </c>
      <c r="AI93" s="6" t="s">
        <v>470</v>
      </c>
      <c r="AJ93" s="7">
        <v>1.0</v>
      </c>
      <c r="AK93" s="7" t="s">
        <v>403</v>
      </c>
      <c r="AL93" s="71">
        <f t="shared" si="21"/>
        <v>1000000</v>
      </c>
      <c r="AM93" s="6" t="s">
        <v>465</v>
      </c>
      <c r="AN93" s="8"/>
      <c r="AO93" s="8"/>
      <c r="AP93" s="8"/>
      <c r="AQ93" s="8"/>
      <c r="AR93" s="74"/>
      <c r="AS93" s="74"/>
      <c r="AT93" s="74"/>
      <c r="AU93" s="74"/>
      <c r="AV93" s="74"/>
      <c r="AW93" s="74"/>
      <c r="AX93" s="74"/>
      <c r="AY93" s="74">
        <v>1000000.0</v>
      </c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9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>
      <c r="A94" s="2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  <c r="AA94" s="69"/>
      <c r="AB94" s="69"/>
      <c r="AC94" s="5"/>
      <c r="AD94" s="5"/>
      <c r="AE94" s="5"/>
      <c r="AF94" s="5"/>
      <c r="AG94" s="71">
        <v>2161000.0</v>
      </c>
      <c r="AH94" s="6" t="s">
        <v>337</v>
      </c>
      <c r="AI94" s="6" t="s">
        <v>444</v>
      </c>
      <c r="AJ94" s="7">
        <v>1.0</v>
      </c>
      <c r="AK94" s="7" t="s">
        <v>403</v>
      </c>
      <c r="AL94" s="71">
        <f t="shared" si="21"/>
        <v>2161000</v>
      </c>
      <c r="AM94" s="6" t="s">
        <v>419</v>
      </c>
      <c r="AN94" s="8"/>
      <c r="AO94" s="8"/>
      <c r="AP94" s="8"/>
      <c r="AQ94" s="8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>
        <v>2161000.0</v>
      </c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9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>
      <c r="A95" s="2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  <c r="AA95" s="69"/>
      <c r="AB95" s="69"/>
      <c r="AC95" s="5"/>
      <c r="AD95" s="5"/>
      <c r="AE95" s="5"/>
      <c r="AF95" s="5"/>
      <c r="AG95" s="6"/>
      <c r="AH95" s="6"/>
      <c r="AI95" s="6"/>
      <c r="AJ95" s="7"/>
      <c r="AK95" s="7"/>
      <c r="AL95" s="6"/>
      <c r="AM95" s="6"/>
      <c r="AN95" s="8"/>
      <c r="AO95" s="8"/>
      <c r="AP95" s="8"/>
      <c r="AQ95" s="8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9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>
      <c r="A96" s="2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  <c r="AA96" s="69"/>
      <c r="AB96" s="69"/>
      <c r="AC96" s="5"/>
      <c r="AD96" s="5"/>
      <c r="AE96" s="5"/>
      <c r="AF96" s="5"/>
      <c r="AG96" s="6"/>
      <c r="AH96" s="6"/>
      <c r="AI96" s="6"/>
      <c r="AJ96" s="7"/>
      <c r="AK96" s="7"/>
      <c r="AL96" s="6"/>
      <c r="AM96" s="6"/>
      <c r="AN96" s="8"/>
      <c r="AO96" s="8"/>
      <c r="AP96" s="8"/>
      <c r="AQ96" s="8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9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>
      <c r="A97" s="2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  <c r="AA97" s="69"/>
      <c r="AB97" s="69"/>
      <c r="AC97" s="5"/>
      <c r="AD97" s="5"/>
      <c r="AE97" s="5"/>
      <c r="AF97" s="5"/>
      <c r="AG97" s="6"/>
      <c r="AH97" s="6"/>
      <c r="AI97" s="6"/>
      <c r="AJ97" s="7"/>
      <c r="AK97" s="7"/>
      <c r="AL97" s="6"/>
      <c r="AM97" s="6"/>
      <c r="AN97" s="8"/>
      <c r="AO97" s="8"/>
      <c r="AP97" s="8"/>
      <c r="AQ97" s="8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9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>
      <c r="A98" s="2"/>
      <c r="B98" s="2"/>
      <c r="C98" s="2"/>
      <c r="D98" s="2"/>
      <c r="E98" s="2"/>
      <c r="F98" s="1"/>
      <c r="G98" s="1"/>
      <c r="H98" s="1"/>
      <c r="I98" s="89" t="s">
        <v>15</v>
      </c>
      <c r="J98" s="1" t="s">
        <v>56</v>
      </c>
      <c r="K98" s="1" t="s">
        <v>106</v>
      </c>
      <c r="L98" s="1">
        <v>1100.0</v>
      </c>
      <c r="M98" s="1">
        <v>1100.0</v>
      </c>
      <c r="N98" s="1">
        <v>750.0</v>
      </c>
      <c r="O98" s="1">
        <v>350.0</v>
      </c>
      <c r="P98" s="1"/>
      <c r="Q98" s="1"/>
      <c r="R98" s="1"/>
      <c r="S98" s="1"/>
      <c r="T98" s="1"/>
      <c r="U98" s="1"/>
      <c r="V98" s="1" t="s">
        <v>471</v>
      </c>
      <c r="W98" s="1" t="s">
        <v>216</v>
      </c>
      <c r="X98" s="1"/>
      <c r="Y98" s="1" t="s">
        <v>472</v>
      </c>
      <c r="Z98" s="2">
        <v>5.0</v>
      </c>
      <c r="AA98" s="69">
        <v>5.98E7</v>
      </c>
      <c r="AB98" s="69">
        <v>5.98E7</v>
      </c>
      <c r="AC98" s="5"/>
      <c r="AD98" s="5"/>
      <c r="AE98" s="5"/>
      <c r="AF98" s="5"/>
      <c r="AG98" s="71">
        <v>1.3232331E7</v>
      </c>
      <c r="AH98" s="6" t="s">
        <v>433</v>
      </c>
      <c r="AI98" s="6" t="s">
        <v>473</v>
      </c>
      <c r="AJ98" s="7">
        <v>1.0</v>
      </c>
      <c r="AK98" s="7" t="s">
        <v>474</v>
      </c>
      <c r="AL98" s="71">
        <f t="shared" ref="AL98:AL99" si="22">AG98*AJ98</f>
        <v>13232331</v>
      </c>
      <c r="AM98" s="6" t="s">
        <v>404</v>
      </c>
      <c r="AN98" s="8"/>
      <c r="AO98" s="8"/>
      <c r="AP98" s="8"/>
      <c r="AQ98" s="8"/>
      <c r="AR98" s="74"/>
      <c r="AS98" s="74"/>
      <c r="AT98" s="74"/>
      <c r="AU98" s="74">
        <v>1.3232331E7</v>
      </c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9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>
      <c r="A99" s="2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 t="s">
        <v>475</v>
      </c>
      <c r="Z99" s="2"/>
      <c r="AA99" s="69"/>
      <c r="AB99" s="69"/>
      <c r="AC99" s="5"/>
      <c r="AD99" s="5"/>
      <c r="AE99" s="5"/>
      <c r="AF99" s="5"/>
      <c r="AG99" s="71">
        <v>150000.0</v>
      </c>
      <c r="AH99" s="6" t="s">
        <v>282</v>
      </c>
      <c r="AI99" s="6" t="s">
        <v>476</v>
      </c>
      <c r="AJ99" s="7">
        <v>22.0</v>
      </c>
      <c r="AK99" s="7" t="s">
        <v>280</v>
      </c>
      <c r="AL99" s="71">
        <f t="shared" si="22"/>
        <v>3300000</v>
      </c>
      <c r="AM99" s="6" t="s">
        <v>329</v>
      </c>
      <c r="AN99" s="8"/>
      <c r="AO99" s="8"/>
      <c r="AP99" s="8"/>
      <c r="AQ99" s="8"/>
      <c r="AR99" s="74">
        <v>3300000.0</v>
      </c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9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>
      <c r="A100" s="2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  <c r="AA100" s="69"/>
      <c r="AB100" s="69"/>
      <c r="AC100" s="5"/>
      <c r="AD100" s="5"/>
      <c r="AE100" s="5"/>
      <c r="AF100" s="5"/>
      <c r="AG100" s="71"/>
      <c r="AH100" s="6"/>
      <c r="AI100" s="6"/>
      <c r="AJ100" s="7"/>
      <c r="AK100" s="7"/>
      <c r="AL100" s="6"/>
      <c r="AM100" s="6"/>
      <c r="AN100" s="8"/>
      <c r="AO100" s="8"/>
      <c r="AP100" s="8"/>
      <c r="AQ100" s="8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9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>
      <c r="A101" s="2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69"/>
      <c r="AB101" s="69"/>
      <c r="AC101" s="5"/>
      <c r="AD101" s="5"/>
      <c r="AE101" s="5"/>
      <c r="AF101" s="5"/>
      <c r="AG101" s="71"/>
      <c r="AH101" s="6"/>
      <c r="AI101" s="6"/>
      <c r="AJ101" s="7"/>
      <c r="AK101" s="7"/>
      <c r="AL101" s="6"/>
      <c r="AM101" s="6"/>
      <c r="AN101" s="8"/>
      <c r="AO101" s="8"/>
      <c r="AP101" s="8"/>
      <c r="AQ101" s="8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9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>
      <c r="A102" s="2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  <c r="AA102" s="69"/>
      <c r="AB102" s="69"/>
      <c r="AC102" s="5"/>
      <c r="AD102" s="5"/>
      <c r="AE102" s="5"/>
      <c r="AF102" s="5"/>
      <c r="AG102" s="71"/>
      <c r="AH102" s="6"/>
      <c r="AI102" s="6"/>
      <c r="AJ102" s="7"/>
      <c r="AK102" s="7"/>
      <c r="AL102" s="6"/>
      <c r="AM102" s="6"/>
      <c r="AN102" s="8"/>
      <c r="AO102" s="8"/>
      <c r="AP102" s="8"/>
      <c r="AQ102" s="8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9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>
      <c r="A103" s="2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 t="s">
        <v>263</v>
      </c>
      <c r="Z103" s="2"/>
      <c r="AA103" s="69"/>
      <c r="AB103" s="69"/>
      <c r="AC103" s="5"/>
      <c r="AD103" s="5"/>
      <c r="AE103" s="5"/>
      <c r="AF103" s="5"/>
      <c r="AG103" s="71"/>
      <c r="AH103" s="6"/>
      <c r="AI103" s="6"/>
      <c r="AJ103" s="7"/>
      <c r="AK103" s="7"/>
      <c r="AL103" s="6"/>
      <c r="AM103" s="6"/>
      <c r="AN103" s="8"/>
      <c r="AO103" s="8"/>
      <c r="AP103" s="8"/>
      <c r="AQ103" s="8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>
        <v>2.0E7</v>
      </c>
      <c r="BK103" s="74"/>
      <c r="BL103" s="74"/>
      <c r="BM103" s="74"/>
      <c r="BN103" s="74"/>
      <c r="BO103" s="74"/>
      <c r="BP103" s="74"/>
      <c r="BQ103" s="74"/>
      <c r="BR103" s="9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>
      <c r="A104" s="2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 t="s">
        <v>477</v>
      </c>
      <c r="Z104" s="2"/>
      <c r="AA104" s="69"/>
      <c r="AB104" s="69"/>
      <c r="AC104" s="5"/>
      <c r="AD104" s="5"/>
      <c r="AE104" s="5"/>
      <c r="AF104" s="5"/>
      <c r="AG104" s="71"/>
      <c r="AH104" s="6"/>
      <c r="AI104" s="6"/>
      <c r="AJ104" s="7"/>
      <c r="AK104" s="7"/>
      <c r="AL104" s="6"/>
      <c r="AM104" s="6"/>
      <c r="AN104" s="8"/>
      <c r="AO104" s="8"/>
      <c r="AP104" s="8"/>
      <c r="AQ104" s="8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>
        <v>5000000.0</v>
      </c>
      <c r="BL104" s="74"/>
      <c r="BM104" s="74"/>
      <c r="BN104" s="74"/>
      <c r="BO104" s="74"/>
      <c r="BP104" s="74"/>
      <c r="BQ104" s="74"/>
      <c r="BR104" s="9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>
      <c r="A105" s="2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  <c r="AA105" s="69"/>
      <c r="AB105" s="69"/>
      <c r="AC105" s="5"/>
      <c r="AD105" s="5"/>
      <c r="AE105" s="5"/>
      <c r="AF105" s="5"/>
      <c r="AG105" s="71"/>
      <c r="AH105" s="6"/>
      <c r="AI105" s="6"/>
      <c r="AJ105" s="7"/>
      <c r="AK105" s="7"/>
      <c r="AL105" s="6"/>
      <c r="AM105" s="6"/>
      <c r="AN105" s="8"/>
      <c r="AO105" s="8"/>
      <c r="AP105" s="8"/>
      <c r="AQ105" s="8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9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>
      <c r="A106" s="2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  <c r="AA106" s="2"/>
      <c r="AB106" s="2"/>
      <c r="AC106" s="5"/>
      <c r="AD106" s="5"/>
      <c r="AE106" s="5"/>
      <c r="AF106" s="5"/>
      <c r="AG106" s="6"/>
      <c r="AH106" s="6"/>
      <c r="AI106" s="6"/>
      <c r="AJ106" s="7"/>
      <c r="AK106" s="7"/>
      <c r="AL106" s="6"/>
      <c r="AM106" s="6"/>
      <c r="AN106" s="8"/>
      <c r="AO106" s="8"/>
      <c r="AP106" s="8"/>
      <c r="AQ106" s="8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9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>
      <c r="A107" s="2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  <c r="AA107" s="2"/>
      <c r="AB107" s="2"/>
      <c r="AC107" s="5"/>
      <c r="AD107" s="5"/>
      <c r="AE107" s="5"/>
      <c r="AF107" s="5"/>
      <c r="AG107" s="6"/>
      <c r="AH107" s="6"/>
      <c r="AI107" s="6"/>
      <c r="AJ107" s="7"/>
      <c r="AK107" s="7"/>
      <c r="AL107" s="6"/>
      <c r="AM107" s="6"/>
      <c r="AN107" s="72"/>
      <c r="AO107" s="73"/>
      <c r="AP107" s="72"/>
      <c r="AQ107" s="73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9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ht="21.0" customHeight="1">
      <c r="A108" s="2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5"/>
      <c r="AD108" s="5"/>
      <c r="AE108" s="5"/>
      <c r="AF108" s="5"/>
      <c r="AG108" s="6"/>
      <c r="AH108" s="6"/>
      <c r="AI108" s="6"/>
      <c r="AJ108" s="7"/>
      <c r="AK108" s="7"/>
      <c r="AL108" s="6"/>
      <c r="AM108" s="6"/>
      <c r="AN108" s="83"/>
      <c r="AO108" s="8"/>
      <c r="AP108" s="83"/>
      <c r="AQ108" s="8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9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ht="39.0" customHeight="1">
      <c r="A109" s="2"/>
      <c r="B109" s="91" t="s">
        <v>478</v>
      </c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5"/>
      <c r="AD109" s="5"/>
      <c r="AE109" s="5"/>
      <c r="AF109" s="5"/>
      <c r="AG109" s="6"/>
      <c r="AH109" s="6"/>
      <c r="AI109" s="6"/>
      <c r="AJ109" s="7"/>
      <c r="AK109" s="7"/>
      <c r="AL109" s="6"/>
      <c r="AM109" s="6"/>
      <c r="AN109" s="83"/>
      <c r="AO109" s="8"/>
      <c r="AP109" s="83"/>
      <c r="AQ109" s="8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9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ht="37.5" customHeight="1">
      <c r="A110" s="2"/>
      <c r="B110" s="91" t="s">
        <v>479</v>
      </c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5"/>
      <c r="AD110" s="5"/>
      <c r="AE110" s="5"/>
      <c r="AF110" s="5"/>
      <c r="AG110" s="6"/>
      <c r="AH110" s="6"/>
      <c r="AI110" s="6"/>
      <c r="AJ110" s="7"/>
      <c r="AK110" s="7"/>
      <c r="AL110" s="6"/>
      <c r="AM110" s="6"/>
      <c r="AN110" s="83"/>
      <c r="AO110" s="8"/>
      <c r="AP110" s="83"/>
      <c r="AQ110" s="8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9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ht="21.0" customHeight="1">
      <c r="A111" s="2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5"/>
      <c r="AD111" s="5"/>
      <c r="AE111" s="5"/>
      <c r="AF111" s="5"/>
      <c r="AG111" s="6"/>
      <c r="AH111" s="6"/>
      <c r="AI111" s="6"/>
      <c r="AJ111" s="7"/>
      <c r="AK111" s="7"/>
      <c r="AL111" s="6"/>
      <c r="AM111" s="6"/>
      <c r="AN111" s="83"/>
      <c r="AO111" s="8"/>
      <c r="AP111" s="83"/>
      <c r="AQ111" s="8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9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ht="21.0" customHeight="1">
      <c r="A112" s="2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5"/>
      <c r="AD112" s="5"/>
      <c r="AE112" s="5"/>
      <c r="AF112" s="5"/>
      <c r="AG112" s="6"/>
      <c r="AH112" s="6"/>
      <c r="AI112" s="6"/>
      <c r="AJ112" s="7"/>
      <c r="AK112" s="7"/>
      <c r="AL112" s="6"/>
      <c r="AM112" s="6"/>
      <c r="AN112" s="83"/>
      <c r="AO112" s="8"/>
      <c r="AP112" s="83"/>
      <c r="AQ112" s="8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9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ht="21.0" customHeight="1">
      <c r="A113" s="2"/>
      <c r="B113" s="2" t="s">
        <v>480</v>
      </c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5"/>
      <c r="AD113" s="5"/>
      <c r="AE113" s="5"/>
      <c r="AF113" s="5"/>
      <c r="AG113" s="6"/>
      <c r="AH113" s="6"/>
      <c r="AI113" s="6"/>
      <c r="AJ113" s="7"/>
      <c r="AK113" s="7"/>
      <c r="AL113" s="6"/>
      <c r="AM113" s="6"/>
      <c r="AN113" s="72">
        <f>AF26*50%</f>
        <v>136030500</v>
      </c>
      <c r="AO113" s="73" t="s">
        <v>481</v>
      </c>
      <c r="AP113" s="72"/>
      <c r="AQ113" s="73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9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ht="21.0" customHeight="1">
      <c r="A114" s="2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5"/>
      <c r="AD114" s="5"/>
      <c r="AE114" s="5"/>
      <c r="AF114" s="5"/>
      <c r="AG114" s="6"/>
      <c r="AH114" s="6"/>
      <c r="AI114" s="6"/>
      <c r="AJ114" s="7"/>
      <c r="AK114" s="7"/>
      <c r="AL114" s="6"/>
      <c r="AM114" s="6"/>
      <c r="AN114" s="83" t="s">
        <v>482</v>
      </c>
      <c r="AO114" s="8"/>
      <c r="AP114" s="83"/>
      <c r="AQ114" s="8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9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ht="21.0" customHeight="1">
      <c r="A115" s="2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5"/>
      <c r="AD115" s="5"/>
      <c r="AE115" s="5"/>
      <c r="AF115" s="5"/>
      <c r="AG115" s="6"/>
      <c r="AH115" s="6"/>
      <c r="AI115" s="6"/>
      <c r="AJ115" s="7"/>
      <c r="AK115" s="7"/>
      <c r="AL115" s="6"/>
      <c r="AM115" s="6"/>
      <c r="AN115" s="8"/>
      <c r="AO115" s="8"/>
      <c r="AP115" s="8"/>
      <c r="AQ115" s="8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9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ht="21.0" customHeight="1">
      <c r="A116" s="2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5"/>
      <c r="AD116" s="5"/>
      <c r="AE116" s="5"/>
      <c r="AF116" s="5"/>
      <c r="AG116" s="6"/>
      <c r="AH116" s="6"/>
      <c r="AI116" s="6"/>
      <c r="AJ116" s="7"/>
      <c r="AK116" s="7"/>
      <c r="AL116" s="6"/>
      <c r="AM116" s="6"/>
      <c r="AN116" s="8"/>
      <c r="AO116" s="8"/>
      <c r="AP116" s="8"/>
      <c r="AQ116" s="8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9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ht="39.0" customHeight="1">
      <c r="A117" s="2"/>
      <c r="B117" s="91" t="s">
        <v>483</v>
      </c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5"/>
      <c r="AD117" s="5"/>
      <c r="AE117" s="5"/>
      <c r="AF117" s="5"/>
      <c r="AG117" s="6"/>
      <c r="AH117" s="6"/>
      <c r="AI117" s="6"/>
      <c r="AJ117" s="7"/>
      <c r="AK117" s="7"/>
      <c r="AL117" s="6"/>
      <c r="AM117" s="6"/>
      <c r="AN117" s="83"/>
      <c r="AO117" s="8"/>
      <c r="AP117" s="83"/>
      <c r="AQ117" s="8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9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ht="37.5" customHeight="1">
      <c r="A118" s="2"/>
      <c r="B118" s="91" t="s">
        <v>484</v>
      </c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5"/>
      <c r="AD118" s="5"/>
      <c r="AE118" s="5"/>
      <c r="AF118" s="5"/>
      <c r="AG118" s="6"/>
      <c r="AH118" s="6"/>
      <c r="AI118" s="6"/>
      <c r="AJ118" s="7"/>
      <c r="AK118" s="7"/>
      <c r="AL118" s="6"/>
      <c r="AM118" s="6"/>
      <c r="AN118" s="83"/>
      <c r="AO118" s="8"/>
      <c r="AP118" s="83"/>
      <c r="AQ118" s="8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9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ht="21.0" customHeight="1">
      <c r="A119" s="2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5"/>
      <c r="AD119" s="5"/>
      <c r="AE119" s="5"/>
      <c r="AF119" s="5"/>
      <c r="AG119" s="6"/>
      <c r="AH119" s="6"/>
      <c r="AI119" s="6"/>
      <c r="AJ119" s="7"/>
      <c r="AK119" s="7"/>
      <c r="AL119" s="6"/>
      <c r="AM119" s="6"/>
      <c r="AN119" s="8"/>
      <c r="AO119" s="8"/>
      <c r="AP119" s="8"/>
      <c r="AQ119" s="8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9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ht="21.0" customHeight="1">
      <c r="A120" s="2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5"/>
      <c r="AD120" s="5"/>
      <c r="AE120" s="5"/>
      <c r="AF120" s="5"/>
      <c r="AG120" s="6"/>
      <c r="AH120" s="6"/>
      <c r="AI120" s="6"/>
      <c r="AJ120" s="7"/>
      <c r="AK120" s="7"/>
      <c r="AL120" s="6"/>
      <c r="AM120" s="6"/>
      <c r="AN120" s="8"/>
      <c r="AO120" s="8"/>
      <c r="AP120" s="8"/>
      <c r="AQ120" s="8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9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ht="21.0" customHeight="1">
      <c r="A121" s="2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5"/>
      <c r="AD121" s="5"/>
      <c r="AE121" s="5"/>
      <c r="AF121" s="5"/>
      <c r="AG121" s="6"/>
      <c r="AH121" s="6"/>
      <c r="AI121" s="6"/>
      <c r="AJ121" s="7"/>
      <c r="AK121" s="7"/>
      <c r="AL121" s="6"/>
      <c r="AM121" s="6"/>
      <c r="AN121" s="8"/>
      <c r="AO121" s="8"/>
      <c r="AP121" s="8"/>
      <c r="AQ121" s="8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9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ht="21.0" customHeight="1">
      <c r="A122" s="2"/>
      <c r="B122" s="2" t="s">
        <v>485</v>
      </c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5"/>
      <c r="AD122" s="5"/>
      <c r="AE122" s="5"/>
      <c r="AF122" s="5"/>
      <c r="AG122" s="6"/>
      <c r="AH122" s="6"/>
      <c r="AI122" s="6"/>
      <c r="AJ122" s="7"/>
      <c r="AK122" s="7"/>
      <c r="AL122" s="6"/>
      <c r="AM122" s="6"/>
      <c r="AN122" s="8"/>
      <c r="AO122" s="8"/>
      <c r="AP122" s="8"/>
      <c r="AQ122" s="8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9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ht="21.0" customHeight="1">
      <c r="A123" s="2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5"/>
      <c r="AD123" s="5"/>
      <c r="AE123" s="5"/>
      <c r="AF123" s="5"/>
      <c r="AG123" s="6"/>
      <c r="AH123" s="6"/>
      <c r="AI123" s="6"/>
      <c r="AJ123" s="7"/>
      <c r="AK123" s="7"/>
      <c r="AL123" s="6"/>
      <c r="AM123" s="6"/>
      <c r="AN123" s="8"/>
      <c r="AO123" s="8"/>
      <c r="AP123" s="8"/>
      <c r="AQ123" s="8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9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ht="21.0" customHeight="1">
      <c r="A124" s="2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5"/>
      <c r="AD124" s="5"/>
      <c r="AE124" s="5"/>
      <c r="AF124" s="5"/>
      <c r="AG124" s="6"/>
      <c r="AH124" s="6"/>
      <c r="AI124" s="6"/>
      <c r="AJ124" s="7"/>
      <c r="AK124" s="7"/>
      <c r="AL124" s="6"/>
      <c r="AM124" s="6"/>
      <c r="AN124" s="8"/>
      <c r="AO124" s="8"/>
      <c r="AP124" s="8"/>
      <c r="AQ124" s="8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9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ht="37.5" customHeight="1">
      <c r="A125" s="2"/>
      <c r="B125" s="91" t="s">
        <v>486</v>
      </c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5"/>
      <c r="AD125" s="5"/>
      <c r="AE125" s="5"/>
      <c r="AF125" s="5"/>
      <c r="AG125" s="6"/>
      <c r="AH125" s="6"/>
      <c r="AI125" s="6"/>
      <c r="AJ125" s="7"/>
      <c r="AK125" s="7"/>
      <c r="AL125" s="6"/>
      <c r="AM125" s="6"/>
      <c r="AN125" s="8"/>
      <c r="AO125" s="8"/>
      <c r="AP125" s="8"/>
      <c r="AQ125" s="8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9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ht="39.0" customHeight="1">
      <c r="A126" s="2"/>
      <c r="B126" s="91" t="s">
        <v>487</v>
      </c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5"/>
      <c r="AD126" s="5"/>
      <c r="AE126" s="5"/>
      <c r="AF126" s="5"/>
      <c r="AG126" s="6"/>
      <c r="AH126" s="6"/>
      <c r="AI126" s="6"/>
      <c r="AJ126" s="7"/>
      <c r="AK126" s="7"/>
      <c r="AL126" s="6"/>
      <c r="AM126" s="6"/>
      <c r="AN126" s="83"/>
      <c r="AO126" s="8"/>
      <c r="AP126" s="83"/>
      <c r="AQ126" s="8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9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ht="37.5" customHeight="1">
      <c r="A127" s="2"/>
      <c r="B127" s="91" t="s">
        <v>488</v>
      </c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5"/>
      <c r="AD127" s="5"/>
      <c r="AE127" s="5"/>
      <c r="AF127" s="5"/>
      <c r="AG127" s="6"/>
      <c r="AH127" s="6"/>
      <c r="AI127" s="6"/>
      <c r="AJ127" s="7"/>
      <c r="AK127" s="7"/>
      <c r="AL127" s="6"/>
      <c r="AM127" s="6"/>
      <c r="AN127" s="83"/>
      <c r="AO127" s="8"/>
      <c r="AP127" s="83"/>
      <c r="AQ127" s="8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9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ht="34.5" customHeight="1">
      <c r="A128" s="2"/>
      <c r="B128" s="91" t="s">
        <v>489</v>
      </c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5"/>
      <c r="AD128" s="5"/>
      <c r="AE128" s="5"/>
      <c r="AF128" s="5"/>
      <c r="AG128" s="6"/>
      <c r="AH128" s="6"/>
      <c r="AI128" s="6"/>
      <c r="AJ128" s="7"/>
      <c r="AK128" s="7"/>
      <c r="AL128" s="6"/>
      <c r="AM128" s="6"/>
      <c r="AN128" s="8"/>
      <c r="AO128" s="8"/>
      <c r="AP128" s="8"/>
      <c r="AQ128" s="8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9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ht="21.0" customHeight="1">
      <c r="A129" s="2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5"/>
      <c r="AD129" s="5"/>
      <c r="AE129" s="5"/>
      <c r="AF129" s="5"/>
      <c r="AG129" s="6"/>
      <c r="AH129" s="6"/>
      <c r="AI129" s="6"/>
      <c r="AJ129" s="7"/>
      <c r="AK129" s="7"/>
      <c r="AL129" s="6"/>
      <c r="AM129" s="6"/>
      <c r="AN129" s="8"/>
      <c r="AO129" s="8"/>
      <c r="AP129" s="8"/>
      <c r="AQ129" s="8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9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ht="21.0" customHeight="1">
      <c r="A130" s="2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5"/>
      <c r="AD130" s="5"/>
      <c r="AE130" s="5"/>
      <c r="AF130" s="5"/>
      <c r="AG130" s="6"/>
      <c r="AH130" s="6"/>
      <c r="AI130" s="6"/>
      <c r="AJ130" s="7"/>
      <c r="AK130" s="7"/>
      <c r="AL130" s="6"/>
      <c r="AM130" s="6"/>
      <c r="AN130" s="8"/>
      <c r="AO130" s="8"/>
      <c r="AP130" s="8"/>
      <c r="AQ130" s="8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9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ht="21.0" customHeight="1">
      <c r="A131" s="2"/>
      <c r="B131" s="2" t="s">
        <v>490</v>
      </c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5"/>
      <c r="AD131" s="5"/>
      <c r="AE131" s="5"/>
      <c r="AF131" s="5"/>
      <c r="AG131" s="6"/>
      <c r="AH131" s="6"/>
      <c r="AI131" s="6"/>
      <c r="AJ131" s="7"/>
      <c r="AK131" s="7"/>
      <c r="AL131" s="6"/>
      <c r="AM131" s="6"/>
      <c r="AN131" s="8"/>
      <c r="AO131" s="8"/>
      <c r="AP131" s="8"/>
      <c r="AQ131" s="8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9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ht="21.0" customHeight="1">
      <c r="A132" s="2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5"/>
      <c r="AD132" s="5"/>
      <c r="AE132" s="5"/>
      <c r="AF132" s="5"/>
      <c r="AG132" s="6"/>
      <c r="AH132" s="6"/>
      <c r="AI132" s="6"/>
      <c r="AJ132" s="7"/>
      <c r="AK132" s="7"/>
      <c r="AL132" s="6"/>
      <c r="AM132" s="6"/>
      <c r="AN132" s="8"/>
      <c r="AO132" s="8"/>
      <c r="AP132" s="72">
        <f>AF26*50%</f>
        <v>136030500</v>
      </c>
      <c r="AQ132" s="73" t="s">
        <v>481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9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ht="21.0" customHeight="1">
      <c r="A133" s="2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5"/>
      <c r="AD133" s="5"/>
      <c r="AE133" s="5"/>
      <c r="AF133" s="5"/>
      <c r="AG133" s="6"/>
      <c r="AH133" s="6"/>
      <c r="AI133" s="6"/>
      <c r="AJ133" s="7"/>
      <c r="AK133" s="7"/>
      <c r="AL133" s="6"/>
      <c r="AM133" s="6"/>
      <c r="AN133" s="8"/>
      <c r="AO133" s="8"/>
      <c r="AP133" s="83" t="s">
        <v>491</v>
      </c>
      <c r="AQ133" s="8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9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ht="21.0" customHeight="1">
      <c r="A134" s="2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5"/>
      <c r="AD134" s="5"/>
      <c r="AE134" s="5"/>
      <c r="AF134" s="5"/>
      <c r="AG134" s="6"/>
      <c r="AH134" s="6"/>
      <c r="AI134" s="6"/>
      <c r="AJ134" s="7"/>
      <c r="AK134" s="7"/>
      <c r="AL134" s="6"/>
      <c r="AM134" s="6"/>
      <c r="AN134" s="8"/>
      <c r="AO134" s="8"/>
      <c r="AP134" s="8"/>
      <c r="AQ134" s="8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9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ht="21.0" customHeight="1">
      <c r="A135" s="2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5"/>
      <c r="AD135" s="5"/>
      <c r="AE135" s="5"/>
      <c r="AF135" s="5"/>
      <c r="AG135" s="6"/>
      <c r="AH135" s="6"/>
      <c r="AI135" s="6"/>
      <c r="AJ135" s="7"/>
      <c r="AK135" s="7"/>
      <c r="AL135" s="6"/>
      <c r="AM135" s="6"/>
      <c r="AN135" s="8"/>
      <c r="AO135" s="8"/>
      <c r="AP135" s="8"/>
      <c r="AQ135" s="8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9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ht="21.0" customHeight="1">
      <c r="A136" s="2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5"/>
      <c r="AD136" s="5"/>
      <c r="AE136" s="5"/>
      <c r="AF136" s="5"/>
      <c r="AG136" s="6"/>
      <c r="AH136" s="6"/>
      <c r="AI136" s="6"/>
      <c r="AJ136" s="7"/>
      <c r="AK136" s="7"/>
      <c r="AL136" s="6"/>
      <c r="AM136" s="6"/>
      <c r="AN136" s="8"/>
      <c r="AO136" s="8"/>
      <c r="AP136" s="8"/>
      <c r="AQ136" s="8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9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ht="21.0" customHeight="1">
      <c r="A137" s="2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5"/>
      <c r="AD137" s="5"/>
      <c r="AE137" s="5"/>
      <c r="AF137" s="5"/>
      <c r="AG137" s="6"/>
      <c r="AH137" s="6"/>
      <c r="AI137" s="6"/>
      <c r="AJ137" s="7"/>
      <c r="AK137" s="7"/>
      <c r="AL137" s="6"/>
      <c r="AM137" s="6"/>
      <c r="AN137" s="8"/>
      <c r="AO137" s="8"/>
      <c r="AP137" s="8"/>
      <c r="AQ137" s="8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9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ht="21.0" customHeight="1">
      <c r="A138" s="2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5"/>
      <c r="AD138" s="5"/>
      <c r="AE138" s="5"/>
      <c r="AF138" s="5"/>
      <c r="AG138" s="6"/>
      <c r="AH138" s="6"/>
      <c r="AI138" s="6"/>
      <c r="AJ138" s="7"/>
      <c r="AK138" s="7"/>
      <c r="AL138" s="6"/>
      <c r="AM138" s="6"/>
      <c r="AN138" s="8"/>
      <c r="AO138" s="8"/>
      <c r="AP138" s="8"/>
      <c r="AQ138" s="8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9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ht="21.0" customHeight="1">
      <c r="A139" s="2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5"/>
      <c r="AD139" s="5"/>
      <c r="AE139" s="5"/>
      <c r="AF139" s="5"/>
      <c r="AG139" s="6"/>
      <c r="AH139" s="6"/>
      <c r="AI139" s="6"/>
      <c r="AJ139" s="7"/>
      <c r="AK139" s="7"/>
      <c r="AL139" s="6"/>
      <c r="AM139" s="6"/>
      <c r="AN139" s="8"/>
      <c r="AO139" s="8"/>
      <c r="AP139" s="8"/>
      <c r="AQ139" s="8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9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ht="21.0" customHeight="1">
      <c r="A140" s="2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5"/>
      <c r="AD140" s="5"/>
      <c r="AE140" s="5"/>
      <c r="AF140" s="5"/>
      <c r="AG140" s="6"/>
      <c r="AH140" s="6"/>
      <c r="AI140" s="6"/>
      <c r="AJ140" s="7"/>
      <c r="AK140" s="7"/>
      <c r="AL140" s="6"/>
      <c r="AM140" s="6"/>
      <c r="AN140" s="8"/>
      <c r="AO140" s="8"/>
      <c r="AP140" s="8"/>
      <c r="AQ140" s="8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9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ht="21.0" customHeight="1">
      <c r="A141" s="2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5"/>
      <c r="AD141" s="5"/>
      <c r="AE141" s="5"/>
      <c r="AF141" s="5"/>
      <c r="AG141" s="6"/>
      <c r="AH141" s="6"/>
      <c r="AI141" s="6"/>
      <c r="AJ141" s="7"/>
      <c r="AK141" s="7"/>
      <c r="AL141" s="6"/>
      <c r="AM141" s="6"/>
      <c r="AN141" s="8"/>
      <c r="AO141" s="8"/>
      <c r="AP141" s="8"/>
      <c r="AQ141" s="8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9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ht="21.0" customHeight="1">
      <c r="A142" s="2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5"/>
      <c r="AD142" s="5"/>
      <c r="AE142" s="5"/>
      <c r="AF142" s="5"/>
      <c r="AG142" s="6"/>
      <c r="AH142" s="6"/>
      <c r="AI142" s="6"/>
      <c r="AJ142" s="7"/>
      <c r="AK142" s="7"/>
      <c r="AL142" s="6"/>
      <c r="AM142" s="6"/>
      <c r="AN142" s="8"/>
      <c r="AO142" s="8"/>
      <c r="AP142" s="8"/>
      <c r="AQ142" s="8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9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ht="21.0" customHeight="1">
      <c r="A143" s="2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5"/>
      <c r="AD143" s="5"/>
      <c r="AE143" s="5"/>
      <c r="AF143" s="5"/>
      <c r="AG143" s="6"/>
      <c r="AH143" s="6"/>
      <c r="AI143" s="6"/>
      <c r="AJ143" s="7"/>
      <c r="AK143" s="7"/>
      <c r="AL143" s="6"/>
      <c r="AM143" s="6"/>
      <c r="AN143" s="8"/>
      <c r="AO143" s="8"/>
      <c r="AP143" s="8"/>
      <c r="AQ143" s="8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9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ht="21.0" customHeight="1">
      <c r="A144" s="2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5"/>
      <c r="AD144" s="5"/>
      <c r="AE144" s="5"/>
      <c r="AF144" s="5"/>
      <c r="AG144" s="6"/>
      <c r="AH144" s="6"/>
      <c r="AI144" s="6"/>
      <c r="AJ144" s="7"/>
      <c r="AK144" s="7"/>
      <c r="AL144" s="6"/>
      <c r="AM144" s="6"/>
      <c r="AN144" s="8"/>
      <c r="AO144" s="8"/>
      <c r="AP144" s="8"/>
      <c r="AQ144" s="8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9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ht="21.0" customHeight="1">
      <c r="A145" s="2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5"/>
      <c r="AD145" s="5"/>
      <c r="AE145" s="5"/>
      <c r="AF145" s="5"/>
      <c r="AG145" s="6"/>
      <c r="AH145" s="6"/>
      <c r="AI145" s="6"/>
      <c r="AJ145" s="7"/>
      <c r="AK145" s="7"/>
      <c r="AL145" s="6"/>
      <c r="AM145" s="6"/>
      <c r="AN145" s="8"/>
      <c r="AO145" s="8"/>
      <c r="AP145" s="8"/>
      <c r="AQ145" s="8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9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ht="21.0" customHeight="1">
      <c r="A146" s="2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5"/>
      <c r="AD146" s="5"/>
      <c r="AE146" s="5"/>
      <c r="AF146" s="5"/>
      <c r="AG146" s="6"/>
      <c r="AH146" s="6"/>
      <c r="AI146" s="6"/>
      <c r="AJ146" s="7"/>
      <c r="AK146" s="7"/>
      <c r="AL146" s="6"/>
      <c r="AM146" s="6"/>
      <c r="AN146" s="8"/>
      <c r="AO146" s="8"/>
      <c r="AP146" s="8"/>
      <c r="AQ146" s="8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9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ht="21.0" customHeight="1">
      <c r="A147" s="2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5"/>
      <c r="AD147" s="5"/>
      <c r="AE147" s="5"/>
      <c r="AF147" s="5"/>
      <c r="AG147" s="6"/>
      <c r="AH147" s="6"/>
      <c r="AI147" s="6"/>
      <c r="AJ147" s="7"/>
      <c r="AK147" s="7"/>
      <c r="AL147" s="6"/>
      <c r="AM147" s="6"/>
      <c r="AN147" s="8"/>
      <c r="AO147" s="8"/>
      <c r="AP147" s="8"/>
      <c r="AQ147" s="8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9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ht="21.0" customHeight="1">
      <c r="A148" s="2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5"/>
      <c r="AD148" s="5"/>
      <c r="AE148" s="5"/>
      <c r="AF148" s="5"/>
      <c r="AG148" s="6"/>
      <c r="AH148" s="6"/>
      <c r="AI148" s="6"/>
      <c r="AJ148" s="7"/>
      <c r="AK148" s="7"/>
      <c r="AL148" s="6"/>
      <c r="AM148" s="6"/>
      <c r="AN148" s="8"/>
      <c r="AO148" s="8"/>
      <c r="AP148" s="8"/>
      <c r="AQ148" s="8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9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ht="21.0" customHeight="1">
      <c r="A149" s="2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5"/>
      <c r="AD149" s="5"/>
      <c r="AE149" s="5"/>
      <c r="AF149" s="5"/>
      <c r="AG149" s="6"/>
      <c r="AH149" s="6"/>
      <c r="AI149" s="6"/>
      <c r="AJ149" s="7"/>
      <c r="AK149" s="7"/>
      <c r="AL149" s="6"/>
      <c r="AM149" s="6"/>
      <c r="AN149" s="8"/>
      <c r="AO149" s="8"/>
      <c r="AP149" s="8"/>
      <c r="AQ149" s="8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9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ht="21.0" customHeight="1">
      <c r="A150" s="2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5"/>
      <c r="AD150" s="5"/>
      <c r="AE150" s="5"/>
      <c r="AF150" s="5"/>
      <c r="AG150" s="6"/>
      <c r="AH150" s="6"/>
      <c r="AI150" s="6"/>
      <c r="AJ150" s="7"/>
      <c r="AK150" s="7"/>
      <c r="AL150" s="6"/>
      <c r="AM150" s="6"/>
      <c r="AN150" s="8"/>
      <c r="AO150" s="8"/>
      <c r="AP150" s="8"/>
      <c r="AQ150" s="8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9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ht="21.0" customHeight="1">
      <c r="A151" s="2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5"/>
      <c r="AD151" s="5"/>
      <c r="AE151" s="5"/>
      <c r="AF151" s="5"/>
      <c r="AG151" s="6"/>
      <c r="AH151" s="6"/>
      <c r="AI151" s="6"/>
      <c r="AJ151" s="7"/>
      <c r="AK151" s="7"/>
      <c r="AL151" s="6"/>
      <c r="AM151" s="6"/>
      <c r="AN151" s="8"/>
      <c r="AO151" s="8"/>
      <c r="AP151" s="8"/>
      <c r="AQ151" s="8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9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ht="21.0" customHeight="1">
      <c r="A152" s="2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5"/>
      <c r="AD152" s="5"/>
      <c r="AE152" s="5"/>
      <c r="AF152" s="5"/>
      <c r="AG152" s="6"/>
      <c r="AH152" s="6"/>
      <c r="AI152" s="6"/>
      <c r="AJ152" s="7"/>
      <c r="AK152" s="7"/>
      <c r="AL152" s="6"/>
      <c r="AM152" s="6"/>
      <c r="AN152" s="8"/>
      <c r="AO152" s="8"/>
      <c r="AP152" s="8"/>
      <c r="AQ152" s="8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9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ht="21.0" customHeight="1">
      <c r="A153" s="2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5"/>
      <c r="AD153" s="5"/>
      <c r="AE153" s="5"/>
      <c r="AF153" s="5"/>
      <c r="AG153" s="6"/>
      <c r="AH153" s="6"/>
      <c r="AI153" s="6"/>
      <c r="AJ153" s="7"/>
      <c r="AK153" s="7"/>
      <c r="AL153" s="6"/>
      <c r="AM153" s="6"/>
      <c r="AN153" s="8"/>
      <c r="AO153" s="8"/>
      <c r="AP153" s="8"/>
      <c r="AQ153" s="8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9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ht="21.0" customHeight="1">
      <c r="A154" s="2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5"/>
      <c r="AD154" s="5"/>
      <c r="AE154" s="5"/>
      <c r="AF154" s="5"/>
      <c r="AG154" s="6"/>
      <c r="AH154" s="6"/>
      <c r="AI154" s="6"/>
      <c r="AJ154" s="7"/>
      <c r="AK154" s="7"/>
      <c r="AL154" s="6"/>
      <c r="AM154" s="6"/>
      <c r="AN154" s="8"/>
      <c r="AO154" s="8"/>
      <c r="AP154" s="8"/>
      <c r="AQ154" s="8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9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ht="21.0" customHeight="1">
      <c r="A155" s="2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5"/>
      <c r="AD155" s="5"/>
      <c r="AE155" s="5"/>
      <c r="AF155" s="5"/>
      <c r="AG155" s="6"/>
      <c r="AH155" s="6"/>
      <c r="AI155" s="6"/>
      <c r="AJ155" s="7"/>
      <c r="AK155" s="7"/>
      <c r="AL155" s="6"/>
      <c r="AM155" s="6"/>
      <c r="AN155" s="8"/>
      <c r="AO155" s="8"/>
      <c r="AP155" s="8"/>
      <c r="AQ155" s="8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9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ht="21.0" customHeight="1">
      <c r="A156" s="2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5"/>
      <c r="AD156" s="5"/>
      <c r="AE156" s="5"/>
      <c r="AF156" s="5"/>
      <c r="AG156" s="6"/>
      <c r="AH156" s="6"/>
      <c r="AI156" s="6"/>
      <c r="AJ156" s="7"/>
      <c r="AK156" s="7"/>
      <c r="AL156" s="6"/>
      <c r="AM156" s="6"/>
      <c r="AN156" s="8"/>
      <c r="AO156" s="8"/>
      <c r="AP156" s="8"/>
      <c r="AQ156" s="8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9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ht="21.0" customHeight="1">
      <c r="A157" s="2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5"/>
      <c r="AD157" s="5"/>
      <c r="AE157" s="5"/>
      <c r="AF157" s="5"/>
      <c r="AG157" s="6"/>
      <c r="AH157" s="6"/>
      <c r="AI157" s="6"/>
      <c r="AJ157" s="7"/>
      <c r="AK157" s="7"/>
      <c r="AL157" s="6"/>
      <c r="AM157" s="6"/>
      <c r="AN157" s="8"/>
      <c r="AO157" s="8"/>
      <c r="AP157" s="8"/>
      <c r="AQ157" s="8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9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ht="21.0" customHeight="1">
      <c r="A158" s="2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5"/>
      <c r="AD158" s="5"/>
      <c r="AE158" s="5"/>
      <c r="AF158" s="5"/>
      <c r="AG158" s="6"/>
      <c r="AH158" s="6"/>
      <c r="AI158" s="6"/>
      <c r="AJ158" s="7"/>
      <c r="AK158" s="7"/>
      <c r="AL158" s="6"/>
      <c r="AM158" s="6"/>
      <c r="AN158" s="8"/>
      <c r="AO158" s="8"/>
      <c r="AP158" s="8"/>
      <c r="AQ158" s="8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9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ht="21.0" customHeight="1">
      <c r="A159" s="2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5"/>
      <c r="AD159" s="5"/>
      <c r="AE159" s="5"/>
      <c r="AF159" s="5"/>
      <c r="AG159" s="6"/>
      <c r="AH159" s="6"/>
      <c r="AI159" s="6"/>
      <c r="AJ159" s="7"/>
      <c r="AK159" s="7"/>
      <c r="AL159" s="6"/>
      <c r="AM159" s="6"/>
      <c r="AN159" s="8"/>
      <c r="AO159" s="8"/>
      <c r="AP159" s="8"/>
      <c r="AQ159" s="8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9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ht="21.0" customHeight="1">
      <c r="A160" s="2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5"/>
      <c r="AD160" s="5"/>
      <c r="AE160" s="5"/>
      <c r="AF160" s="5"/>
      <c r="AG160" s="6"/>
      <c r="AH160" s="6"/>
      <c r="AI160" s="6"/>
      <c r="AJ160" s="7"/>
      <c r="AK160" s="7"/>
      <c r="AL160" s="6"/>
      <c r="AM160" s="6"/>
      <c r="AN160" s="8"/>
      <c r="AO160" s="8"/>
      <c r="AP160" s="8"/>
      <c r="AQ160" s="8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9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ht="21.0" customHeight="1">
      <c r="A161" s="2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5"/>
      <c r="AD161" s="5"/>
      <c r="AE161" s="5"/>
      <c r="AF161" s="5"/>
      <c r="AG161" s="6"/>
      <c r="AH161" s="6"/>
      <c r="AI161" s="6"/>
      <c r="AJ161" s="7"/>
      <c r="AK161" s="7"/>
      <c r="AL161" s="6"/>
      <c r="AM161" s="6"/>
      <c r="AN161" s="8"/>
      <c r="AO161" s="8"/>
      <c r="AP161" s="8"/>
      <c r="AQ161" s="8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9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ht="21.0" customHeight="1">
      <c r="A162" s="2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5"/>
      <c r="AD162" s="5"/>
      <c r="AE162" s="5"/>
      <c r="AF162" s="5"/>
      <c r="AG162" s="6"/>
      <c r="AH162" s="6"/>
      <c r="AI162" s="6"/>
      <c r="AJ162" s="7"/>
      <c r="AK162" s="7"/>
      <c r="AL162" s="6"/>
      <c r="AM162" s="6"/>
      <c r="AN162" s="8"/>
      <c r="AO162" s="8"/>
      <c r="AP162" s="8"/>
      <c r="AQ162" s="8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9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ht="21.0" customHeight="1">
      <c r="A163" s="2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5"/>
      <c r="AD163" s="5"/>
      <c r="AE163" s="5"/>
      <c r="AF163" s="5"/>
      <c r="AG163" s="6"/>
      <c r="AH163" s="6"/>
      <c r="AI163" s="6"/>
      <c r="AJ163" s="7"/>
      <c r="AK163" s="7"/>
      <c r="AL163" s="6"/>
      <c r="AM163" s="6"/>
      <c r="AN163" s="8"/>
      <c r="AO163" s="8"/>
      <c r="AP163" s="8"/>
      <c r="AQ163" s="8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9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ht="21.0" customHeight="1">
      <c r="A164" s="2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5"/>
      <c r="AD164" s="5"/>
      <c r="AE164" s="5"/>
      <c r="AF164" s="5"/>
      <c r="AG164" s="6"/>
      <c r="AH164" s="6"/>
      <c r="AI164" s="6"/>
      <c r="AJ164" s="7"/>
      <c r="AK164" s="7"/>
      <c r="AL164" s="6"/>
      <c r="AM164" s="6"/>
      <c r="AN164" s="8"/>
      <c r="AO164" s="8"/>
      <c r="AP164" s="8"/>
      <c r="AQ164" s="8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9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ht="21.0" customHeight="1">
      <c r="A165" s="2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5"/>
      <c r="AD165" s="5"/>
      <c r="AE165" s="5"/>
      <c r="AF165" s="5"/>
      <c r="AG165" s="6"/>
      <c r="AH165" s="6"/>
      <c r="AI165" s="6"/>
      <c r="AJ165" s="7"/>
      <c r="AK165" s="7"/>
      <c r="AL165" s="6"/>
      <c r="AM165" s="6"/>
      <c r="AN165" s="8"/>
      <c r="AO165" s="8"/>
      <c r="AP165" s="8"/>
      <c r="AQ165" s="8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9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ht="21.0" customHeight="1">
      <c r="A166" s="2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5"/>
      <c r="AD166" s="5"/>
      <c r="AE166" s="5"/>
      <c r="AF166" s="5"/>
      <c r="AG166" s="6"/>
      <c r="AH166" s="6"/>
      <c r="AI166" s="6"/>
      <c r="AJ166" s="7"/>
      <c r="AK166" s="7"/>
      <c r="AL166" s="6"/>
      <c r="AM166" s="6"/>
      <c r="AN166" s="8"/>
      <c r="AO166" s="8"/>
      <c r="AP166" s="8"/>
      <c r="AQ166" s="8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9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ht="21.0" customHeight="1">
      <c r="A167" s="2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5"/>
      <c r="AD167" s="5"/>
      <c r="AE167" s="5"/>
      <c r="AF167" s="5"/>
      <c r="AG167" s="6"/>
      <c r="AH167" s="6"/>
      <c r="AI167" s="6"/>
      <c r="AJ167" s="7"/>
      <c r="AK167" s="7"/>
      <c r="AL167" s="6"/>
      <c r="AM167" s="6"/>
      <c r="AN167" s="8"/>
      <c r="AO167" s="8"/>
      <c r="AP167" s="8"/>
      <c r="AQ167" s="8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9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ht="21.0" customHeight="1">
      <c r="A168" s="2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5"/>
      <c r="AD168" s="5"/>
      <c r="AE168" s="5"/>
      <c r="AF168" s="5"/>
      <c r="AG168" s="6"/>
      <c r="AH168" s="6"/>
      <c r="AI168" s="6"/>
      <c r="AJ168" s="7"/>
      <c r="AK168" s="7"/>
      <c r="AL168" s="6"/>
      <c r="AM168" s="6"/>
      <c r="AN168" s="8"/>
      <c r="AO168" s="8"/>
      <c r="AP168" s="8"/>
      <c r="AQ168" s="8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9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ht="21.0" customHeight="1">
      <c r="A169" s="2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5"/>
      <c r="AD169" s="5"/>
      <c r="AE169" s="5"/>
      <c r="AF169" s="5"/>
      <c r="AG169" s="6"/>
      <c r="AH169" s="6"/>
      <c r="AI169" s="6"/>
      <c r="AJ169" s="7"/>
      <c r="AK169" s="7"/>
      <c r="AL169" s="6"/>
      <c r="AM169" s="6"/>
      <c r="AN169" s="8"/>
      <c r="AO169" s="8"/>
      <c r="AP169" s="8"/>
      <c r="AQ169" s="8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9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ht="21.0" customHeight="1">
      <c r="A170" s="2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5"/>
      <c r="AD170" s="5"/>
      <c r="AE170" s="5"/>
      <c r="AF170" s="5"/>
      <c r="AG170" s="6"/>
      <c r="AH170" s="6"/>
      <c r="AI170" s="6"/>
      <c r="AJ170" s="7"/>
      <c r="AK170" s="7"/>
      <c r="AL170" s="6"/>
      <c r="AM170" s="6"/>
      <c r="AN170" s="8"/>
      <c r="AO170" s="8"/>
      <c r="AP170" s="8"/>
      <c r="AQ170" s="8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9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ht="21.0" customHeight="1">
      <c r="A171" s="2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5"/>
      <c r="AD171" s="5"/>
      <c r="AE171" s="5"/>
      <c r="AF171" s="5"/>
      <c r="AG171" s="6"/>
      <c r="AH171" s="6"/>
      <c r="AI171" s="6"/>
      <c r="AJ171" s="7"/>
      <c r="AK171" s="7"/>
      <c r="AL171" s="6"/>
      <c r="AM171" s="6"/>
      <c r="AN171" s="8"/>
      <c r="AO171" s="8"/>
      <c r="AP171" s="8"/>
      <c r="AQ171" s="8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9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ht="21.0" customHeight="1">
      <c r="A172" s="2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5"/>
      <c r="AD172" s="5"/>
      <c r="AE172" s="5"/>
      <c r="AF172" s="5"/>
      <c r="AG172" s="6"/>
      <c r="AH172" s="6"/>
      <c r="AI172" s="6"/>
      <c r="AJ172" s="7"/>
      <c r="AK172" s="7"/>
      <c r="AL172" s="6"/>
      <c r="AM172" s="6"/>
      <c r="AN172" s="8"/>
      <c r="AO172" s="8"/>
      <c r="AP172" s="8"/>
      <c r="AQ172" s="8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9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ht="21.0" customHeight="1">
      <c r="A173" s="2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5"/>
      <c r="AD173" s="5"/>
      <c r="AE173" s="5"/>
      <c r="AF173" s="5"/>
      <c r="AG173" s="6"/>
      <c r="AH173" s="6"/>
      <c r="AI173" s="6"/>
      <c r="AJ173" s="7"/>
      <c r="AK173" s="7"/>
      <c r="AL173" s="6"/>
      <c r="AM173" s="6"/>
      <c r="AN173" s="8"/>
      <c r="AO173" s="8"/>
      <c r="AP173" s="8"/>
      <c r="AQ173" s="8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9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ht="21.0" customHeight="1">
      <c r="A174" s="2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5"/>
      <c r="AD174" s="5"/>
      <c r="AE174" s="5"/>
      <c r="AF174" s="5"/>
      <c r="AG174" s="6"/>
      <c r="AH174" s="6"/>
      <c r="AI174" s="6"/>
      <c r="AJ174" s="7"/>
      <c r="AK174" s="7"/>
      <c r="AL174" s="6"/>
      <c r="AM174" s="6"/>
      <c r="AN174" s="8"/>
      <c r="AO174" s="8"/>
      <c r="AP174" s="8"/>
      <c r="AQ174" s="8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9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ht="21.0" customHeight="1">
      <c r="A175" s="2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5"/>
      <c r="AD175" s="5"/>
      <c r="AE175" s="5"/>
      <c r="AF175" s="5"/>
      <c r="AG175" s="6"/>
      <c r="AH175" s="6"/>
      <c r="AI175" s="6"/>
      <c r="AJ175" s="7"/>
      <c r="AK175" s="7"/>
      <c r="AL175" s="6"/>
      <c r="AM175" s="6"/>
      <c r="AN175" s="8"/>
      <c r="AO175" s="8"/>
      <c r="AP175" s="8"/>
      <c r="AQ175" s="8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9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ht="21.0" customHeight="1">
      <c r="A176" s="2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5"/>
      <c r="AD176" s="5"/>
      <c r="AE176" s="5"/>
      <c r="AF176" s="5"/>
      <c r="AG176" s="6"/>
      <c r="AH176" s="6"/>
      <c r="AI176" s="6"/>
      <c r="AJ176" s="7"/>
      <c r="AK176" s="7"/>
      <c r="AL176" s="6"/>
      <c r="AM176" s="6"/>
      <c r="AN176" s="8"/>
      <c r="AO176" s="8"/>
      <c r="AP176" s="8"/>
      <c r="AQ176" s="8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9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ht="21.0" customHeight="1">
      <c r="A177" s="2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5"/>
      <c r="AD177" s="5"/>
      <c r="AE177" s="5"/>
      <c r="AF177" s="5"/>
      <c r="AG177" s="6"/>
      <c r="AH177" s="6"/>
      <c r="AI177" s="6"/>
      <c r="AJ177" s="7"/>
      <c r="AK177" s="7"/>
      <c r="AL177" s="6"/>
      <c r="AM177" s="6"/>
      <c r="AN177" s="8"/>
      <c r="AO177" s="8"/>
      <c r="AP177" s="8"/>
      <c r="AQ177" s="8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9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ht="21.0" customHeight="1">
      <c r="A178" s="2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5"/>
      <c r="AD178" s="5"/>
      <c r="AE178" s="5"/>
      <c r="AF178" s="5"/>
      <c r="AG178" s="6"/>
      <c r="AH178" s="6"/>
      <c r="AI178" s="6"/>
      <c r="AJ178" s="7"/>
      <c r="AK178" s="7"/>
      <c r="AL178" s="6"/>
      <c r="AM178" s="6"/>
      <c r="AN178" s="8"/>
      <c r="AO178" s="8"/>
      <c r="AP178" s="8"/>
      <c r="AQ178" s="8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9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ht="21.0" customHeight="1">
      <c r="A179" s="2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5"/>
      <c r="AD179" s="5"/>
      <c r="AE179" s="5"/>
      <c r="AF179" s="5"/>
      <c r="AG179" s="6"/>
      <c r="AH179" s="6"/>
      <c r="AI179" s="6"/>
      <c r="AJ179" s="7"/>
      <c r="AK179" s="7"/>
      <c r="AL179" s="6"/>
      <c r="AM179" s="6"/>
      <c r="AN179" s="8"/>
      <c r="AO179" s="8"/>
      <c r="AP179" s="8"/>
      <c r="AQ179" s="8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9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ht="21.0" customHeight="1">
      <c r="A180" s="2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5"/>
      <c r="AD180" s="5"/>
      <c r="AE180" s="5"/>
      <c r="AF180" s="5"/>
      <c r="AG180" s="6"/>
      <c r="AH180" s="6"/>
      <c r="AI180" s="6"/>
      <c r="AJ180" s="7"/>
      <c r="AK180" s="7"/>
      <c r="AL180" s="6"/>
      <c r="AM180" s="6"/>
      <c r="AN180" s="8"/>
      <c r="AO180" s="8"/>
      <c r="AP180" s="8"/>
      <c r="AQ180" s="8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9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ht="21.0" customHeight="1">
      <c r="A181" s="2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5"/>
      <c r="AD181" s="5"/>
      <c r="AE181" s="5"/>
      <c r="AF181" s="5"/>
      <c r="AG181" s="6"/>
      <c r="AH181" s="6"/>
      <c r="AI181" s="6"/>
      <c r="AJ181" s="7"/>
      <c r="AK181" s="7"/>
      <c r="AL181" s="6"/>
      <c r="AM181" s="6"/>
      <c r="AN181" s="8"/>
      <c r="AO181" s="8"/>
      <c r="AP181" s="8"/>
      <c r="AQ181" s="8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9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ht="21.0" customHeight="1">
      <c r="A182" s="2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5"/>
      <c r="AD182" s="5"/>
      <c r="AE182" s="5"/>
      <c r="AF182" s="5"/>
      <c r="AG182" s="6"/>
      <c r="AH182" s="6"/>
      <c r="AI182" s="6"/>
      <c r="AJ182" s="7"/>
      <c r="AK182" s="7"/>
      <c r="AL182" s="6"/>
      <c r="AM182" s="6"/>
      <c r="AN182" s="8"/>
      <c r="AO182" s="8"/>
      <c r="AP182" s="8"/>
      <c r="AQ182" s="8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9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ht="21.0" customHeight="1">
      <c r="A183" s="2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5"/>
      <c r="AD183" s="5"/>
      <c r="AE183" s="5"/>
      <c r="AF183" s="5"/>
      <c r="AG183" s="6"/>
      <c r="AH183" s="6"/>
      <c r="AI183" s="6"/>
      <c r="AJ183" s="7"/>
      <c r="AK183" s="7"/>
      <c r="AL183" s="6"/>
      <c r="AM183" s="6"/>
      <c r="AN183" s="8"/>
      <c r="AO183" s="8"/>
      <c r="AP183" s="8"/>
      <c r="AQ183" s="8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9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ht="21.0" customHeight="1">
      <c r="A184" s="2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5"/>
      <c r="AD184" s="5"/>
      <c r="AE184" s="5"/>
      <c r="AF184" s="5"/>
      <c r="AG184" s="6"/>
      <c r="AH184" s="6"/>
      <c r="AI184" s="6"/>
      <c r="AJ184" s="7"/>
      <c r="AK184" s="7"/>
      <c r="AL184" s="6"/>
      <c r="AM184" s="6"/>
      <c r="AN184" s="8"/>
      <c r="AO184" s="8"/>
      <c r="AP184" s="8"/>
      <c r="AQ184" s="8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9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ht="21.0" customHeight="1">
      <c r="A185" s="2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5"/>
      <c r="AD185" s="5"/>
      <c r="AE185" s="5"/>
      <c r="AF185" s="5"/>
      <c r="AG185" s="6"/>
      <c r="AH185" s="6"/>
      <c r="AI185" s="6"/>
      <c r="AJ185" s="7"/>
      <c r="AK185" s="7"/>
      <c r="AL185" s="6"/>
      <c r="AM185" s="6"/>
      <c r="AN185" s="8"/>
      <c r="AO185" s="8"/>
      <c r="AP185" s="8"/>
      <c r="AQ185" s="8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9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ht="21.0" customHeight="1">
      <c r="A186" s="2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5"/>
      <c r="AD186" s="5"/>
      <c r="AE186" s="5"/>
      <c r="AF186" s="5"/>
      <c r="AG186" s="6"/>
      <c r="AH186" s="6"/>
      <c r="AI186" s="6"/>
      <c r="AJ186" s="7"/>
      <c r="AK186" s="7"/>
      <c r="AL186" s="6"/>
      <c r="AM186" s="6"/>
      <c r="AN186" s="8"/>
      <c r="AO186" s="8"/>
      <c r="AP186" s="8"/>
      <c r="AQ186" s="8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9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ht="21.0" customHeight="1">
      <c r="A187" s="2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5"/>
      <c r="AD187" s="5"/>
      <c r="AE187" s="5"/>
      <c r="AF187" s="5"/>
      <c r="AG187" s="6"/>
      <c r="AH187" s="6"/>
      <c r="AI187" s="6"/>
      <c r="AJ187" s="7"/>
      <c r="AK187" s="7"/>
      <c r="AL187" s="6"/>
      <c r="AM187" s="6"/>
      <c r="AN187" s="8"/>
      <c r="AO187" s="8"/>
      <c r="AP187" s="8"/>
      <c r="AQ187" s="8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9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ht="21.0" customHeight="1">
      <c r="A188" s="2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5"/>
      <c r="AD188" s="5"/>
      <c r="AE188" s="5"/>
      <c r="AF188" s="5"/>
      <c r="AG188" s="6"/>
      <c r="AH188" s="6"/>
      <c r="AI188" s="6"/>
      <c r="AJ188" s="7"/>
      <c r="AK188" s="7"/>
      <c r="AL188" s="6"/>
      <c r="AM188" s="6"/>
      <c r="AN188" s="8"/>
      <c r="AO188" s="8"/>
      <c r="AP188" s="8"/>
      <c r="AQ188" s="8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9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ht="21.0" customHeight="1">
      <c r="A189" s="2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5"/>
      <c r="AD189" s="5"/>
      <c r="AE189" s="5"/>
      <c r="AF189" s="5"/>
      <c r="AG189" s="6"/>
      <c r="AH189" s="6"/>
      <c r="AI189" s="6"/>
      <c r="AJ189" s="7"/>
      <c r="AK189" s="7"/>
      <c r="AL189" s="6"/>
      <c r="AM189" s="6"/>
      <c r="AN189" s="8"/>
      <c r="AO189" s="8"/>
      <c r="AP189" s="8"/>
      <c r="AQ189" s="8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9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ht="21.0" customHeight="1">
      <c r="A190" s="2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5"/>
      <c r="AD190" s="5"/>
      <c r="AE190" s="5"/>
      <c r="AF190" s="5"/>
      <c r="AG190" s="6"/>
      <c r="AH190" s="6"/>
      <c r="AI190" s="6"/>
      <c r="AJ190" s="7"/>
      <c r="AK190" s="7"/>
      <c r="AL190" s="6"/>
      <c r="AM190" s="6"/>
      <c r="AN190" s="8"/>
      <c r="AO190" s="8"/>
      <c r="AP190" s="8"/>
      <c r="AQ190" s="8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9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ht="21.0" customHeight="1">
      <c r="A191" s="2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5"/>
      <c r="AD191" s="5"/>
      <c r="AE191" s="5"/>
      <c r="AF191" s="5"/>
      <c r="AG191" s="6"/>
      <c r="AH191" s="6"/>
      <c r="AI191" s="6"/>
      <c r="AJ191" s="7"/>
      <c r="AK191" s="7"/>
      <c r="AL191" s="6"/>
      <c r="AM191" s="6"/>
      <c r="AN191" s="8"/>
      <c r="AO191" s="8"/>
      <c r="AP191" s="8"/>
      <c r="AQ191" s="8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9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ht="21.0" customHeight="1">
      <c r="A192" s="2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5"/>
      <c r="AD192" s="5"/>
      <c r="AE192" s="5"/>
      <c r="AF192" s="5"/>
      <c r="AG192" s="6"/>
      <c r="AH192" s="6"/>
      <c r="AI192" s="6"/>
      <c r="AJ192" s="7"/>
      <c r="AK192" s="7"/>
      <c r="AL192" s="6"/>
      <c r="AM192" s="6"/>
      <c r="AN192" s="8"/>
      <c r="AO192" s="8"/>
      <c r="AP192" s="8"/>
      <c r="AQ192" s="8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9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ht="21.0" customHeight="1">
      <c r="A193" s="2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5"/>
      <c r="AD193" s="5"/>
      <c r="AE193" s="5"/>
      <c r="AF193" s="5"/>
      <c r="AG193" s="6"/>
      <c r="AH193" s="6"/>
      <c r="AI193" s="6"/>
      <c r="AJ193" s="7"/>
      <c r="AK193" s="7"/>
      <c r="AL193" s="6"/>
      <c r="AM193" s="6"/>
      <c r="AN193" s="8"/>
      <c r="AO193" s="8"/>
      <c r="AP193" s="8"/>
      <c r="AQ193" s="8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9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ht="21.0" customHeight="1">
      <c r="A194" s="2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5"/>
      <c r="AD194" s="5"/>
      <c r="AE194" s="5"/>
      <c r="AF194" s="5"/>
      <c r="AG194" s="6"/>
      <c r="AH194" s="6"/>
      <c r="AI194" s="6"/>
      <c r="AJ194" s="7"/>
      <c r="AK194" s="7"/>
      <c r="AL194" s="6"/>
      <c r="AM194" s="6"/>
      <c r="AN194" s="8"/>
      <c r="AO194" s="8"/>
      <c r="AP194" s="8"/>
      <c r="AQ194" s="8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9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ht="21.0" customHeight="1">
      <c r="A195" s="2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5"/>
      <c r="AD195" s="5"/>
      <c r="AE195" s="5"/>
      <c r="AF195" s="5"/>
      <c r="AG195" s="6"/>
      <c r="AH195" s="6"/>
      <c r="AI195" s="6"/>
      <c r="AJ195" s="7"/>
      <c r="AK195" s="7"/>
      <c r="AL195" s="6"/>
      <c r="AM195" s="6"/>
      <c r="AN195" s="8"/>
      <c r="AO195" s="8"/>
      <c r="AP195" s="8"/>
      <c r="AQ195" s="8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9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ht="21.0" customHeight="1">
      <c r="A196" s="2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5"/>
      <c r="AD196" s="5"/>
      <c r="AE196" s="5"/>
      <c r="AF196" s="5"/>
      <c r="AG196" s="6"/>
      <c r="AH196" s="6"/>
      <c r="AI196" s="6"/>
      <c r="AJ196" s="7"/>
      <c r="AK196" s="7"/>
      <c r="AL196" s="6"/>
      <c r="AM196" s="6"/>
      <c r="AN196" s="8"/>
      <c r="AO196" s="8"/>
      <c r="AP196" s="8"/>
      <c r="AQ196" s="8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9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ht="21.0" customHeight="1">
      <c r="A197" s="2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5"/>
      <c r="AD197" s="5"/>
      <c r="AE197" s="5"/>
      <c r="AF197" s="5"/>
      <c r="AG197" s="6"/>
      <c r="AH197" s="6"/>
      <c r="AI197" s="6"/>
      <c r="AJ197" s="7"/>
      <c r="AK197" s="7"/>
      <c r="AL197" s="6"/>
      <c r="AM197" s="6"/>
      <c r="AN197" s="8"/>
      <c r="AO197" s="8"/>
      <c r="AP197" s="8"/>
      <c r="AQ197" s="8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9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ht="21.0" customHeight="1">
      <c r="A198" s="2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5"/>
      <c r="AD198" s="5"/>
      <c r="AE198" s="5"/>
      <c r="AF198" s="5"/>
      <c r="AG198" s="6"/>
      <c r="AH198" s="6"/>
      <c r="AI198" s="6"/>
      <c r="AJ198" s="7"/>
      <c r="AK198" s="7"/>
      <c r="AL198" s="6"/>
      <c r="AM198" s="6"/>
      <c r="AN198" s="8"/>
      <c r="AO198" s="8"/>
      <c r="AP198" s="8"/>
      <c r="AQ198" s="8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9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ht="21.0" customHeight="1">
      <c r="A199" s="2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5"/>
      <c r="AD199" s="5"/>
      <c r="AE199" s="5"/>
      <c r="AF199" s="5"/>
      <c r="AG199" s="6"/>
      <c r="AH199" s="6"/>
      <c r="AI199" s="6"/>
      <c r="AJ199" s="7"/>
      <c r="AK199" s="7"/>
      <c r="AL199" s="6"/>
      <c r="AM199" s="6"/>
      <c r="AN199" s="8"/>
      <c r="AO199" s="8"/>
      <c r="AP199" s="8"/>
      <c r="AQ199" s="8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9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ht="21.0" customHeight="1">
      <c r="A200" s="2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5"/>
      <c r="AD200" s="5"/>
      <c r="AE200" s="5"/>
      <c r="AF200" s="5"/>
      <c r="AG200" s="6"/>
      <c r="AH200" s="6"/>
      <c r="AI200" s="6"/>
      <c r="AJ200" s="7"/>
      <c r="AK200" s="7"/>
      <c r="AL200" s="6"/>
      <c r="AM200" s="6"/>
      <c r="AN200" s="8"/>
      <c r="AO200" s="8"/>
      <c r="AP200" s="8"/>
      <c r="AQ200" s="8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9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ht="21.0" customHeight="1">
      <c r="A201" s="2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5"/>
      <c r="AD201" s="5"/>
      <c r="AE201" s="5"/>
      <c r="AF201" s="5"/>
      <c r="AG201" s="6"/>
      <c r="AH201" s="6"/>
      <c r="AI201" s="6"/>
      <c r="AJ201" s="7"/>
      <c r="AK201" s="7"/>
      <c r="AL201" s="6"/>
      <c r="AM201" s="6"/>
      <c r="AN201" s="8"/>
      <c r="AO201" s="8"/>
      <c r="AP201" s="8"/>
      <c r="AQ201" s="8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9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ht="21.0" customHeight="1">
      <c r="A202" s="2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5"/>
      <c r="AD202" s="5"/>
      <c r="AE202" s="5"/>
      <c r="AF202" s="5"/>
      <c r="AG202" s="6"/>
      <c r="AH202" s="6"/>
      <c r="AI202" s="6"/>
      <c r="AJ202" s="7"/>
      <c r="AK202" s="7"/>
      <c r="AL202" s="6"/>
      <c r="AM202" s="6"/>
      <c r="AN202" s="8"/>
      <c r="AO202" s="8"/>
      <c r="AP202" s="8"/>
      <c r="AQ202" s="8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9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ht="21.0" customHeight="1">
      <c r="A203" s="2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5"/>
      <c r="AD203" s="5"/>
      <c r="AE203" s="5"/>
      <c r="AF203" s="5"/>
      <c r="AG203" s="6"/>
      <c r="AH203" s="6"/>
      <c r="AI203" s="6"/>
      <c r="AJ203" s="7"/>
      <c r="AK203" s="7"/>
      <c r="AL203" s="6"/>
      <c r="AM203" s="6"/>
      <c r="AN203" s="8"/>
      <c r="AO203" s="8"/>
      <c r="AP203" s="8"/>
      <c r="AQ203" s="8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9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ht="21.0" customHeight="1">
      <c r="A204" s="2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5"/>
      <c r="AD204" s="5"/>
      <c r="AE204" s="5"/>
      <c r="AF204" s="5"/>
      <c r="AG204" s="6"/>
      <c r="AH204" s="6"/>
      <c r="AI204" s="6"/>
      <c r="AJ204" s="7"/>
      <c r="AK204" s="7"/>
      <c r="AL204" s="6"/>
      <c r="AM204" s="6"/>
      <c r="AN204" s="8"/>
      <c r="AO204" s="8"/>
      <c r="AP204" s="8"/>
      <c r="AQ204" s="8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9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ht="21.0" customHeight="1">
      <c r="A205" s="2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5"/>
      <c r="AD205" s="5"/>
      <c r="AE205" s="5"/>
      <c r="AF205" s="5"/>
      <c r="AG205" s="6"/>
      <c r="AH205" s="6"/>
      <c r="AI205" s="6"/>
      <c r="AJ205" s="7"/>
      <c r="AK205" s="7"/>
      <c r="AL205" s="6"/>
      <c r="AM205" s="6"/>
      <c r="AN205" s="8"/>
      <c r="AO205" s="8"/>
      <c r="AP205" s="8"/>
      <c r="AQ205" s="8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9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ht="21.0" customHeight="1">
      <c r="A206" s="2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5"/>
      <c r="AD206" s="5"/>
      <c r="AE206" s="5"/>
      <c r="AF206" s="5"/>
      <c r="AG206" s="6"/>
      <c r="AH206" s="6"/>
      <c r="AI206" s="6"/>
      <c r="AJ206" s="7"/>
      <c r="AK206" s="7"/>
      <c r="AL206" s="6"/>
      <c r="AM206" s="6"/>
      <c r="AN206" s="8"/>
      <c r="AO206" s="8"/>
      <c r="AP206" s="8"/>
      <c r="AQ206" s="8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9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ht="21.0" customHeight="1">
      <c r="A207" s="2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5"/>
      <c r="AD207" s="5"/>
      <c r="AE207" s="5"/>
      <c r="AF207" s="5"/>
      <c r="AG207" s="6"/>
      <c r="AH207" s="6"/>
      <c r="AI207" s="6"/>
      <c r="AJ207" s="7"/>
      <c r="AK207" s="7"/>
      <c r="AL207" s="6"/>
      <c r="AM207" s="6"/>
      <c r="AN207" s="8"/>
      <c r="AO207" s="8"/>
      <c r="AP207" s="8"/>
      <c r="AQ207" s="8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9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ht="21.0" customHeight="1">
      <c r="A208" s="2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5"/>
      <c r="AD208" s="5"/>
      <c r="AE208" s="5"/>
      <c r="AF208" s="5"/>
      <c r="AG208" s="6"/>
      <c r="AH208" s="6"/>
      <c r="AI208" s="6"/>
      <c r="AJ208" s="7"/>
      <c r="AK208" s="7"/>
      <c r="AL208" s="6"/>
      <c r="AM208" s="6"/>
      <c r="AN208" s="8"/>
      <c r="AO208" s="8"/>
      <c r="AP208" s="8"/>
      <c r="AQ208" s="8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9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ht="21.0" customHeight="1">
      <c r="A209" s="2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5"/>
      <c r="AD209" s="5"/>
      <c r="AE209" s="5"/>
      <c r="AF209" s="5"/>
      <c r="AG209" s="6"/>
      <c r="AH209" s="6"/>
      <c r="AI209" s="6"/>
      <c r="AJ209" s="7"/>
      <c r="AK209" s="7"/>
      <c r="AL209" s="6"/>
      <c r="AM209" s="6"/>
      <c r="AN209" s="8"/>
      <c r="AO209" s="8"/>
      <c r="AP209" s="8"/>
      <c r="AQ209" s="8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9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ht="21.0" customHeight="1">
      <c r="A210" s="2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5"/>
      <c r="AD210" s="5"/>
      <c r="AE210" s="5"/>
      <c r="AF210" s="5"/>
      <c r="AG210" s="6"/>
      <c r="AH210" s="6"/>
      <c r="AI210" s="6"/>
      <c r="AJ210" s="7"/>
      <c r="AK210" s="7"/>
      <c r="AL210" s="6"/>
      <c r="AM210" s="6"/>
      <c r="AN210" s="8"/>
      <c r="AO210" s="8"/>
      <c r="AP210" s="8"/>
      <c r="AQ210" s="8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9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ht="21.0" customHeight="1">
      <c r="A211" s="2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5"/>
      <c r="AD211" s="5"/>
      <c r="AE211" s="5"/>
      <c r="AF211" s="5"/>
      <c r="AG211" s="6"/>
      <c r="AH211" s="6"/>
      <c r="AI211" s="6"/>
      <c r="AJ211" s="7"/>
      <c r="AK211" s="7"/>
      <c r="AL211" s="6"/>
      <c r="AM211" s="6"/>
      <c r="AN211" s="8"/>
      <c r="AO211" s="8"/>
      <c r="AP211" s="8"/>
      <c r="AQ211" s="8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9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ht="21.0" customHeight="1">
      <c r="A212" s="2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5"/>
      <c r="AD212" s="5"/>
      <c r="AE212" s="5"/>
      <c r="AF212" s="5"/>
      <c r="AG212" s="6"/>
      <c r="AH212" s="6"/>
      <c r="AI212" s="6"/>
      <c r="AJ212" s="7"/>
      <c r="AK212" s="7"/>
      <c r="AL212" s="6"/>
      <c r="AM212" s="6"/>
      <c r="AN212" s="8"/>
      <c r="AO212" s="8"/>
      <c r="AP212" s="8"/>
      <c r="AQ212" s="8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9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ht="21.0" customHeight="1">
      <c r="A213" s="2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5"/>
      <c r="AD213" s="5"/>
      <c r="AE213" s="5"/>
      <c r="AF213" s="5"/>
      <c r="AG213" s="6"/>
      <c r="AH213" s="6"/>
      <c r="AI213" s="6"/>
      <c r="AJ213" s="7"/>
      <c r="AK213" s="7"/>
      <c r="AL213" s="6"/>
      <c r="AM213" s="6"/>
      <c r="AN213" s="8"/>
      <c r="AO213" s="8"/>
      <c r="AP213" s="8"/>
      <c r="AQ213" s="8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9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ht="21.0" customHeight="1">
      <c r="A214" s="2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5"/>
      <c r="AD214" s="5"/>
      <c r="AE214" s="5"/>
      <c r="AF214" s="5"/>
      <c r="AG214" s="6"/>
      <c r="AH214" s="6"/>
      <c r="AI214" s="6"/>
      <c r="AJ214" s="7"/>
      <c r="AK214" s="7"/>
      <c r="AL214" s="6"/>
      <c r="AM214" s="6"/>
      <c r="AN214" s="8"/>
      <c r="AO214" s="8"/>
      <c r="AP214" s="8"/>
      <c r="AQ214" s="8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9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ht="21.0" customHeight="1">
      <c r="A215" s="2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5"/>
      <c r="AD215" s="5"/>
      <c r="AE215" s="5"/>
      <c r="AF215" s="5"/>
      <c r="AG215" s="6"/>
      <c r="AH215" s="6"/>
      <c r="AI215" s="6"/>
      <c r="AJ215" s="7"/>
      <c r="AK215" s="7"/>
      <c r="AL215" s="6"/>
      <c r="AM215" s="6"/>
      <c r="AN215" s="8"/>
      <c r="AO215" s="8"/>
      <c r="AP215" s="8"/>
      <c r="AQ215" s="8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9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ht="21.0" customHeight="1">
      <c r="A216" s="2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5"/>
      <c r="AD216" s="5"/>
      <c r="AE216" s="5"/>
      <c r="AF216" s="5"/>
      <c r="AG216" s="6"/>
      <c r="AH216" s="6"/>
      <c r="AI216" s="6"/>
      <c r="AJ216" s="7"/>
      <c r="AK216" s="7"/>
      <c r="AL216" s="6"/>
      <c r="AM216" s="6"/>
      <c r="AN216" s="8"/>
      <c r="AO216" s="8"/>
      <c r="AP216" s="8"/>
      <c r="AQ216" s="8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9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ht="21.0" customHeight="1">
      <c r="A217" s="2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5"/>
      <c r="AD217" s="5"/>
      <c r="AE217" s="5"/>
      <c r="AF217" s="5"/>
      <c r="AG217" s="6"/>
      <c r="AH217" s="6"/>
      <c r="AI217" s="6"/>
      <c r="AJ217" s="7"/>
      <c r="AK217" s="7"/>
      <c r="AL217" s="6"/>
      <c r="AM217" s="6"/>
      <c r="AN217" s="8"/>
      <c r="AO217" s="8"/>
      <c r="AP217" s="8"/>
      <c r="AQ217" s="8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9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ht="21.0" customHeight="1">
      <c r="A218" s="2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5"/>
      <c r="AD218" s="5"/>
      <c r="AE218" s="5"/>
      <c r="AF218" s="5"/>
      <c r="AG218" s="6"/>
      <c r="AH218" s="6"/>
      <c r="AI218" s="6"/>
      <c r="AJ218" s="7"/>
      <c r="AK218" s="7"/>
      <c r="AL218" s="6"/>
      <c r="AM218" s="6"/>
      <c r="AN218" s="8"/>
      <c r="AO218" s="8"/>
      <c r="AP218" s="8"/>
      <c r="AQ218" s="8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9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ht="21.0" customHeight="1">
      <c r="A219" s="2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5"/>
      <c r="AD219" s="5"/>
      <c r="AE219" s="5"/>
      <c r="AF219" s="5"/>
      <c r="AG219" s="6"/>
      <c r="AH219" s="6"/>
      <c r="AI219" s="6"/>
      <c r="AJ219" s="7"/>
      <c r="AK219" s="7"/>
      <c r="AL219" s="6"/>
      <c r="AM219" s="6"/>
      <c r="AN219" s="8"/>
      <c r="AO219" s="8"/>
      <c r="AP219" s="8"/>
      <c r="AQ219" s="8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9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ht="21.0" customHeight="1">
      <c r="A220" s="2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5"/>
      <c r="AD220" s="5"/>
      <c r="AE220" s="5"/>
      <c r="AF220" s="5"/>
      <c r="AG220" s="6"/>
      <c r="AH220" s="6"/>
      <c r="AI220" s="6"/>
      <c r="AJ220" s="7"/>
      <c r="AK220" s="7"/>
      <c r="AL220" s="6"/>
      <c r="AM220" s="6"/>
      <c r="AN220" s="8"/>
      <c r="AO220" s="8"/>
      <c r="AP220" s="8"/>
      <c r="AQ220" s="8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9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ht="21.0" customHeight="1">
      <c r="A221" s="2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5"/>
      <c r="AD221" s="5"/>
      <c r="AE221" s="5"/>
      <c r="AF221" s="5"/>
      <c r="AG221" s="6"/>
      <c r="AH221" s="6"/>
      <c r="AI221" s="6"/>
      <c r="AJ221" s="7"/>
      <c r="AK221" s="7"/>
      <c r="AL221" s="6"/>
      <c r="AM221" s="6"/>
      <c r="AN221" s="8"/>
      <c r="AO221" s="8"/>
      <c r="AP221" s="8"/>
      <c r="AQ221" s="8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9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ht="21.0" customHeight="1">
      <c r="A222" s="2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5"/>
      <c r="AD222" s="5"/>
      <c r="AE222" s="5"/>
      <c r="AF222" s="5"/>
      <c r="AG222" s="6"/>
      <c r="AH222" s="6"/>
      <c r="AI222" s="6"/>
      <c r="AJ222" s="7"/>
      <c r="AK222" s="7"/>
      <c r="AL222" s="6"/>
      <c r="AM222" s="6"/>
      <c r="AN222" s="8"/>
      <c r="AO222" s="8"/>
      <c r="AP222" s="8"/>
      <c r="AQ222" s="8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9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>
      <c r="A223" s="2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5"/>
      <c r="AD223" s="5"/>
      <c r="AE223" s="5"/>
      <c r="AF223" s="5"/>
      <c r="AG223" s="6"/>
      <c r="AH223" s="6"/>
      <c r="AI223" s="6"/>
      <c r="AJ223" s="7"/>
      <c r="AK223" s="7"/>
      <c r="AL223" s="6"/>
      <c r="AM223" s="6"/>
      <c r="AN223" s="8"/>
      <c r="AO223" s="8"/>
      <c r="AP223" s="8"/>
      <c r="AQ223" s="8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9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>
      <c r="A224" s="2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5"/>
      <c r="AD224" s="5"/>
      <c r="AE224" s="5"/>
      <c r="AF224" s="5"/>
      <c r="AG224" s="6"/>
      <c r="AH224" s="6"/>
      <c r="AI224" s="6"/>
      <c r="AJ224" s="7"/>
      <c r="AK224" s="7"/>
      <c r="AL224" s="6"/>
      <c r="AM224" s="6"/>
      <c r="AN224" s="8"/>
      <c r="AO224" s="8"/>
      <c r="AP224" s="8"/>
      <c r="AQ224" s="8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9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>
      <c r="A225" s="2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5"/>
      <c r="AD225" s="5"/>
      <c r="AE225" s="5"/>
      <c r="AF225" s="5"/>
      <c r="AG225" s="6"/>
      <c r="AH225" s="6"/>
      <c r="AI225" s="6"/>
      <c r="AJ225" s="7"/>
      <c r="AK225" s="7"/>
      <c r="AL225" s="6"/>
      <c r="AM225" s="6"/>
      <c r="AN225" s="8"/>
      <c r="AO225" s="8"/>
      <c r="AP225" s="8"/>
      <c r="AQ225" s="8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9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>
      <c r="A226" s="2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5"/>
      <c r="AD226" s="5"/>
      <c r="AE226" s="5"/>
      <c r="AF226" s="5"/>
      <c r="AG226" s="6"/>
      <c r="AH226" s="6"/>
      <c r="AI226" s="6"/>
      <c r="AJ226" s="7"/>
      <c r="AK226" s="7"/>
      <c r="AL226" s="6"/>
      <c r="AM226" s="6"/>
      <c r="AN226" s="8"/>
      <c r="AO226" s="8"/>
      <c r="AP226" s="8"/>
      <c r="AQ226" s="8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9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>
      <c r="A227" s="2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5"/>
      <c r="AD227" s="5"/>
      <c r="AE227" s="5"/>
      <c r="AF227" s="5"/>
      <c r="AG227" s="6"/>
      <c r="AH227" s="6"/>
      <c r="AI227" s="6"/>
      <c r="AJ227" s="7"/>
      <c r="AK227" s="7"/>
      <c r="AL227" s="6"/>
      <c r="AM227" s="6"/>
      <c r="AN227" s="8"/>
      <c r="AO227" s="8"/>
      <c r="AP227" s="8"/>
      <c r="AQ227" s="8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9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>
      <c r="A228" s="2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5"/>
      <c r="AD228" s="5"/>
      <c r="AE228" s="5"/>
      <c r="AF228" s="5"/>
      <c r="AG228" s="6"/>
      <c r="AH228" s="6"/>
      <c r="AI228" s="6"/>
      <c r="AJ228" s="7"/>
      <c r="AK228" s="7"/>
      <c r="AL228" s="6"/>
      <c r="AM228" s="6"/>
      <c r="AN228" s="8"/>
      <c r="AO228" s="8"/>
      <c r="AP228" s="8"/>
      <c r="AQ228" s="8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9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>
      <c r="A229" s="2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5"/>
      <c r="AD229" s="5"/>
      <c r="AE229" s="5"/>
      <c r="AF229" s="5"/>
      <c r="AG229" s="6"/>
      <c r="AH229" s="6"/>
      <c r="AI229" s="6"/>
      <c r="AJ229" s="7"/>
      <c r="AK229" s="7"/>
      <c r="AL229" s="6"/>
      <c r="AM229" s="6"/>
      <c r="AN229" s="8"/>
      <c r="AO229" s="8"/>
      <c r="AP229" s="8"/>
      <c r="AQ229" s="8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9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>
      <c r="A230" s="2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5"/>
      <c r="AD230" s="5"/>
      <c r="AE230" s="5"/>
      <c r="AF230" s="5"/>
      <c r="AG230" s="6"/>
      <c r="AH230" s="6"/>
      <c r="AI230" s="6"/>
      <c r="AJ230" s="7"/>
      <c r="AK230" s="7"/>
      <c r="AL230" s="6"/>
      <c r="AM230" s="6"/>
      <c r="AN230" s="8"/>
      <c r="AO230" s="8"/>
      <c r="AP230" s="8"/>
      <c r="AQ230" s="8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9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>
      <c r="A231" s="2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5"/>
      <c r="AD231" s="5"/>
      <c r="AE231" s="5"/>
      <c r="AF231" s="5"/>
      <c r="AG231" s="6"/>
      <c r="AH231" s="6"/>
      <c r="AI231" s="6"/>
      <c r="AJ231" s="7"/>
      <c r="AK231" s="7"/>
      <c r="AL231" s="6"/>
      <c r="AM231" s="6"/>
      <c r="AN231" s="8"/>
      <c r="AO231" s="8"/>
      <c r="AP231" s="8"/>
      <c r="AQ231" s="8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9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>
      <c r="A232" s="2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5"/>
      <c r="AD232" s="5"/>
      <c r="AE232" s="5"/>
      <c r="AF232" s="5"/>
      <c r="AG232" s="6"/>
      <c r="AH232" s="6"/>
      <c r="AI232" s="6"/>
      <c r="AJ232" s="7"/>
      <c r="AK232" s="7"/>
      <c r="AL232" s="6"/>
      <c r="AM232" s="6"/>
      <c r="AN232" s="8"/>
      <c r="AO232" s="8"/>
      <c r="AP232" s="8"/>
      <c r="AQ232" s="8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9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>
      <c r="A233" s="2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5"/>
      <c r="AD233" s="5"/>
      <c r="AE233" s="5"/>
      <c r="AF233" s="5"/>
      <c r="AG233" s="6"/>
      <c r="AH233" s="6"/>
      <c r="AI233" s="6"/>
      <c r="AJ233" s="7"/>
      <c r="AK233" s="7"/>
      <c r="AL233" s="6"/>
      <c r="AM233" s="6"/>
      <c r="AN233" s="8"/>
      <c r="AO233" s="8"/>
      <c r="AP233" s="8"/>
      <c r="AQ233" s="8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9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>
      <c r="A234" s="2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5"/>
      <c r="AD234" s="5"/>
      <c r="AE234" s="5"/>
      <c r="AF234" s="5"/>
      <c r="AG234" s="6"/>
      <c r="AH234" s="6"/>
      <c r="AI234" s="6"/>
      <c r="AJ234" s="7"/>
      <c r="AK234" s="7"/>
      <c r="AL234" s="6"/>
      <c r="AM234" s="6"/>
      <c r="AN234" s="8"/>
      <c r="AO234" s="8"/>
      <c r="AP234" s="8"/>
      <c r="AQ234" s="8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9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>
      <c r="A235" s="2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5"/>
      <c r="AD235" s="5"/>
      <c r="AE235" s="5"/>
      <c r="AF235" s="5"/>
      <c r="AG235" s="6"/>
      <c r="AH235" s="6"/>
      <c r="AI235" s="6"/>
      <c r="AJ235" s="7"/>
      <c r="AK235" s="7"/>
      <c r="AL235" s="6"/>
      <c r="AM235" s="6"/>
      <c r="AN235" s="8"/>
      <c r="AO235" s="8"/>
      <c r="AP235" s="8"/>
      <c r="AQ235" s="8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9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>
      <c r="A236" s="2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5"/>
      <c r="AD236" s="5"/>
      <c r="AE236" s="5"/>
      <c r="AF236" s="5"/>
      <c r="AG236" s="6"/>
      <c r="AH236" s="6"/>
      <c r="AI236" s="6"/>
      <c r="AJ236" s="7"/>
      <c r="AK236" s="7"/>
      <c r="AL236" s="6"/>
      <c r="AM236" s="6"/>
      <c r="AN236" s="8"/>
      <c r="AO236" s="8"/>
      <c r="AP236" s="8"/>
      <c r="AQ236" s="8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9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>
      <c r="A237" s="2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5"/>
      <c r="AD237" s="5"/>
      <c r="AE237" s="5"/>
      <c r="AF237" s="5"/>
      <c r="AG237" s="6"/>
      <c r="AH237" s="6"/>
      <c r="AI237" s="6"/>
      <c r="AJ237" s="7"/>
      <c r="AK237" s="7"/>
      <c r="AL237" s="6"/>
      <c r="AM237" s="6"/>
      <c r="AN237" s="8"/>
      <c r="AO237" s="8"/>
      <c r="AP237" s="8"/>
      <c r="AQ237" s="8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9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>
      <c r="A238" s="2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5"/>
      <c r="AD238" s="5"/>
      <c r="AE238" s="5"/>
      <c r="AF238" s="5"/>
      <c r="AG238" s="6"/>
      <c r="AH238" s="6"/>
      <c r="AI238" s="6"/>
      <c r="AJ238" s="7"/>
      <c r="AK238" s="7"/>
      <c r="AL238" s="6"/>
      <c r="AM238" s="6"/>
      <c r="AN238" s="8"/>
      <c r="AO238" s="8"/>
      <c r="AP238" s="8"/>
      <c r="AQ238" s="8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9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>
      <c r="A239" s="2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5"/>
      <c r="AD239" s="5"/>
      <c r="AE239" s="5"/>
      <c r="AF239" s="5"/>
      <c r="AG239" s="6"/>
      <c r="AH239" s="6"/>
      <c r="AI239" s="6"/>
      <c r="AJ239" s="7"/>
      <c r="AK239" s="7"/>
      <c r="AL239" s="6"/>
      <c r="AM239" s="6"/>
      <c r="AN239" s="8"/>
      <c r="AO239" s="8"/>
      <c r="AP239" s="8"/>
      <c r="AQ239" s="8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9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>
      <c r="A240" s="2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5"/>
      <c r="AD240" s="5"/>
      <c r="AE240" s="5"/>
      <c r="AF240" s="5"/>
      <c r="AG240" s="6"/>
      <c r="AH240" s="6"/>
      <c r="AI240" s="6"/>
      <c r="AJ240" s="7"/>
      <c r="AK240" s="7"/>
      <c r="AL240" s="6"/>
      <c r="AM240" s="6"/>
      <c r="AN240" s="8"/>
      <c r="AO240" s="8"/>
      <c r="AP240" s="8"/>
      <c r="AQ240" s="8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9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>
      <c r="A241" s="2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5"/>
      <c r="AD241" s="5"/>
      <c r="AE241" s="5"/>
      <c r="AF241" s="5"/>
      <c r="AG241" s="6"/>
      <c r="AH241" s="6"/>
      <c r="AI241" s="6"/>
      <c r="AJ241" s="7"/>
      <c r="AK241" s="7"/>
      <c r="AL241" s="6"/>
      <c r="AM241" s="6"/>
      <c r="AN241" s="8"/>
      <c r="AO241" s="8"/>
      <c r="AP241" s="8"/>
      <c r="AQ241" s="8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9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>
      <c r="A242" s="2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5"/>
      <c r="AD242" s="5"/>
      <c r="AE242" s="5"/>
      <c r="AF242" s="5"/>
      <c r="AG242" s="6"/>
      <c r="AH242" s="6"/>
      <c r="AI242" s="6"/>
      <c r="AJ242" s="7"/>
      <c r="AK242" s="7"/>
      <c r="AL242" s="6"/>
      <c r="AM242" s="6"/>
      <c r="AN242" s="8"/>
      <c r="AO242" s="8"/>
      <c r="AP242" s="8"/>
      <c r="AQ242" s="8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9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>
      <c r="A243" s="2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5"/>
      <c r="AD243" s="5"/>
      <c r="AE243" s="5"/>
      <c r="AF243" s="5"/>
      <c r="AG243" s="6"/>
      <c r="AH243" s="6"/>
      <c r="AI243" s="6"/>
      <c r="AJ243" s="7"/>
      <c r="AK243" s="7"/>
      <c r="AL243" s="6"/>
      <c r="AM243" s="6"/>
      <c r="AN243" s="8"/>
      <c r="AO243" s="8"/>
      <c r="AP243" s="8"/>
      <c r="AQ243" s="8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9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>
      <c r="A244" s="2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5"/>
      <c r="AD244" s="5"/>
      <c r="AE244" s="5"/>
      <c r="AF244" s="5"/>
      <c r="AG244" s="6"/>
      <c r="AH244" s="6"/>
      <c r="AI244" s="6"/>
      <c r="AJ244" s="7"/>
      <c r="AK244" s="7"/>
      <c r="AL244" s="6"/>
      <c r="AM244" s="6"/>
      <c r="AN244" s="8"/>
      <c r="AO244" s="8"/>
      <c r="AP244" s="8"/>
      <c r="AQ244" s="8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9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>
      <c r="A245" s="2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5"/>
      <c r="AD245" s="5"/>
      <c r="AE245" s="5"/>
      <c r="AF245" s="5"/>
      <c r="AG245" s="6"/>
      <c r="AH245" s="6"/>
      <c r="AI245" s="6"/>
      <c r="AJ245" s="7"/>
      <c r="AK245" s="7"/>
      <c r="AL245" s="6"/>
      <c r="AM245" s="6"/>
      <c r="AN245" s="8"/>
      <c r="AO245" s="8"/>
      <c r="AP245" s="8"/>
      <c r="AQ245" s="8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9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>
      <c r="A246" s="2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5"/>
      <c r="AD246" s="5"/>
      <c r="AE246" s="5"/>
      <c r="AF246" s="5"/>
      <c r="AG246" s="6"/>
      <c r="AH246" s="6"/>
      <c r="AI246" s="6"/>
      <c r="AJ246" s="7"/>
      <c r="AK246" s="7"/>
      <c r="AL246" s="6"/>
      <c r="AM246" s="6"/>
      <c r="AN246" s="8"/>
      <c r="AO246" s="8"/>
      <c r="AP246" s="8"/>
      <c r="AQ246" s="8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9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>
      <c r="A247" s="2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5"/>
      <c r="AD247" s="5"/>
      <c r="AE247" s="5"/>
      <c r="AF247" s="5"/>
      <c r="AG247" s="6"/>
      <c r="AH247" s="6"/>
      <c r="AI247" s="6"/>
      <c r="AJ247" s="7"/>
      <c r="AK247" s="7"/>
      <c r="AL247" s="6"/>
      <c r="AM247" s="6"/>
      <c r="AN247" s="8"/>
      <c r="AO247" s="8"/>
      <c r="AP247" s="8"/>
      <c r="AQ247" s="8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9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>
      <c r="A248" s="2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5"/>
      <c r="AD248" s="5"/>
      <c r="AE248" s="5"/>
      <c r="AF248" s="5"/>
      <c r="AG248" s="6"/>
      <c r="AH248" s="6"/>
      <c r="AI248" s="6"/>
      <c r="AJ248" s="7"/>
      <c r="AK248" s="7"/>
      <c r="AL248" s="6"/>
      <c r="AM248" s="6"/>
      <c r="AN248" s="8"/>
      <c r="AO248" s="8"/>
      <c r="AP248" s="8"/>
      <c r="AQ248" s="8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9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>
      <c r="A249" s="2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5"/>
      <c r="AD249" s="5"/>
      <c r="AE249" s="5"/>
      <c r="AF249" s="5"/>
      <c r="AG249" s="6"/>
      <c r="AH249" s="6"/>
      <c r="AI249" s="6"/>
      <c r="AJ249" s="7"/>
      <c r="AK249" s="7"/>
      <c r="AL249" s="6"/>
      <c r="AM249" s="6"/>
      <c r="AN249" s="8"/>
      <c r="AO249" s="8"/>
      <c r="AP249" s="8"/>
      <c r="AQ249" s="8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9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>
      <c r="A250" s="2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5"/>
      <c r="AD250" s="5"/>
      <c r="AE250" s="5"/>
      <c r="AF250" s="5"/>
      <c r="AG250" s="6"/>
      <c r="AH250" s="6"/>
      <c r="AI250" s="6"/>
      <c r="AJ250" s="7"/>
      <c r="AK250" s="7"/>
      <c r="AL250" s="6"/>
      <c r="AM250" s="6"/>
      <c r="AN250" s="8"/>
      <c r="AO250" s="8"/>
      <c r="AP250" s="8"/>
      <c r="AQ250" s="8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9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>
      <c r="A251" s="2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"/>
      <c r="AD251" s="5"/>
      <c r="AE251" s="5"/>
      <c r="AF251" s="5"/>
      <c r="AG251" s="6"/>
      <c r="AH251" s="6"/>
      <c r="AI251" s="6"/>
      <c r="AJ251" s="7"/>
      <c r="AK251" s="7"/>
      <c r="AL251" s="6"/>
      <c r="AM251" s="6"/>
      <c r="AN251" s="8"/>
      <c r="AO251" s="8"/>
      <c r="AP251" s="8"/>
      <c r="AQ251" s="8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9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>
      <c r="A252" s="2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5"/>
      <c r="AD252" s="5"/>
      <c r="AE252" s="5"/>
      <c r="AF252" s="5"/>
      <c r="AG252" s="6"/>
      <c r="AH252" s="6"/>
      <c r="AI252" s="6"/>
      <c r="AJ252" s="7"/>
      <c r="AK252" s="7"/>
      <c r="AL252" s="6"/>
      <c r="AM252" s="6"/>
      <c r="AN252" s="8"/>
      <c r="AO252" s="8"/>
      <c r="AP252" s="8"/>
      <c r="AQ252" s="8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9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>
      <c r="A253" s="2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5"/>
      <c r="AD253" s="5"/>
      <c r="AE253" s="5"/>
      <c r="AF253" s="5"/>
      <c r="AG253" s="6"/>
      <c r="AH253" s="6"/>
      <c r="AI253" s="6"/>
      <c r="AJ253" s="7"/>
      <c r="AK253" s="7"/>
      <c r="AL253" s="6"/>
      <c r="AM253" s="6"/>
      <c r="AN253" s="8"/>
      <c r="AO253" s="8"/>
      <c r="AP253" s="8"/>
      <c r="AQ253" s="8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9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>
      <c r="A254" s="2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5"/>
      <c r="AD254" s="5"/>
      <c r="AE254" s="5"/>
      <c r="AF254" s="5"/>
      <c r="AG254" s="6"/>
      <c r="AH254" s="6"/>
      <c r="AI254" s="6"/>
      <c r="AJ254" s="7"/>
      <c r="AK254" s="7"/>
      <c r="AL254" s="6"/>
      <c r="AM254" s="6"/>
      <c r="AN254" s="8"/>
      <c r="AO254" s="8"/>
      <c r="AP254" s="8"/>
      <c r="AQ254" s="8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9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>
      <c r="A255" s="2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5"/>
      <c r="AD255" s="5"/>
      <c r="AE255" s="5"/>
      <c r="AF255" s="5"/>
      <c r="AG255" s="6"/>
      <c r="AH255" s="6"/>
      <c r="AI255" s="6"/>
      <c r="AJ255" s="7"/>
      <c r="AK255" s="7"/>
      <c r="AL255" s="6"/>
      <c r="AM255" s="6"/>
      <c r="AN255" s="8"/>
      <c r="AO255" s="8"/>
      <c r="AP255" s="8"/>
      <c r="AQ255" s="8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9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>
      <c r="A256" s="2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5"/>
      <c r="AD256" s="5"/>
      <c r="AE256" s="5"/>
      <c r="AF256" s="5"/>
      <c r="AG256" s="6"/>
      <c r="AH256" s="6"/>
      <c r="AI256" s="6"/>
      <c r="AJ256" s="7"/>
      <c r="AK256" s="7"/>
      <c r="AL256" s="6"/>
      <c r="AM256" s="6"/>
      <c r="AN256" s="8"/>
      <c r="AO256" s="8"/>
      <c r="AP256" s="8"/>
      <c r="AQ256" s="8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9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>
      <c r="A257" s="2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5"/>
      <c r="AD257" s="5"/>
      <c r="AE257" s="5"/>
      <c r="AF257" s="5"/>
      <c r="AG257" s="6"/>
      <c r="AH257" s="6"/>
      <c r="AI257" s="6"/>
      <c r="AJ257" s="7"/>
      <c r="AK257" s="7"/>
      <c r="AL257" s="6"/>
      <c r="AM257" s="6"/>
      <c r="AN257" s="8"/>
      <c r="AO257" s="8"/>
      <c r="AP257" s="8"/>
      <c r="AQ257" s="8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9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>
      <c r="A258" s="2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5"/>
      <c r="AD258" s="5"/>
      <c r="AE258" s="5"/>
      <c r="AF258" s="5"/>
      <c r="AG258" s="6"/>
      <c r="AH258" s="6"/>
      <c r="AI258" s="6"/>
      <c r="AJ258" s="7"/>
      <c r="AK258" s="7"/>
      <c r="AL258" s="6"/>
      <c r="AM258" s="6"/>
      <c r="AN258" s="8"/>
      <c r="AO258" s="8"/>
      <c r="AP258" s="8"/>
      <c r="AQ258" s="8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9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>
      <c r="A259" s="2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5"/>
      <c r="AD259" s="5"/>
      <c r="AE259" s="5"/>
      <c r="AF259" s="5"/>
      <c r="AG259" s="6"/>
      <c r="AH259" s="6"/>
      <c r="AI259" s="6"/>
      <c r="AJ259" s="7"/>
      <c r="AK259" s="7"/>
      <c r="AL259" s="6"/>
      <c r="AM259" s="6"/>
      <c r="AN259" s="8"/>
      <c r="AO259" s="8"/>
      <c r="AP259" s="8"/>
      <c r="AQ259" s="8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9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>
      <c r="A260" s="2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5"/>
      <c r="AD260" s="5"/>
      <c r="AE260" s="5"/>
      <c r="AF260" s="5"/>
      <c r="AG260" s="6"/>
      <c r="AH260" s="6"/>
      <c r="AI260" s="6"/>
      <c r="AJ260" s="7"/>
      <c r="AK260" s="7"/>
      <c r="AL260" s="6"/>
      <c r="AM260" s="6"/>
      <c r="AN260" s="8"/>
      <c r="AO260" s="8"/>
      <c r="AP260" s="8"/>
      <c r="AQ260" s="8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9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>
      <c r="A261" s="2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5"/>
      <c r="AD261" s="5"/>
      <c r="AE261" s="5"/>
      <c r="AF261" s="5"/>
      <c r="AG261" s="6"/>
      <c r="AH261" s="6"/>
      <c r="AI261" s="6"/>
      <c r="AJ261" s="7"/>
      <c r="AK261" s="7"/>
      <c r="AL261" s="6"/>
      <c r="AM261" s="6"/>
      <c r="AN261" s="8"/>
      <c r="AO261" s="8"/>
      <c r="AP261" s="8"/>
      <c r="AQ261" s="8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9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>
      <c r="A262" s="2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5"/>
      <c r="AD262" s="5"/>
      <c r="AE262" s="5"/>
      <c r="AF262" s="5"/>
      <c r="AG262" s="6"/>
      <c r="AH262" s="6"/>
      <c r="AI262" s="6"/>
      <c r="AJ262" s="7"/>
      <c r="AK262" s="7"/>
      <c r="AL262" s="6"/>
      <c r="AM262" s="6"/>
      <c r="AN262" s="8"/>
      <c r="AO262" s="8"/>
      <c r="AP262" s="8"/>
      <c r="AQ262" s="8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9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>
      <c r="A263" s="2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5"/>
      <c r="AD263" s="5"/>
      <c r="AE263" s="5"/>
      <c r="AF263" s="5"/>
      <c r="AG263" s="6"/>
      <c r="AH263" s="6"/>
      <c r="AI263" s="6"/>
      <c r="AJ263" s="7"/>
      <c r="AK263" s="7"/>
      <c r="AL263" s="6"/>
      <c r="AM263" s="6"/>
      <c r="AN263" s="8"/>
      <c r="AO263" s="8"/>
      <c r="AP263" s="8"/>
      <c r="AQ263" s="8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9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>
      <c r="A264" s="2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5"/>
      <c r="AD264" s="5"/>
      <c r="AE264" s="5"/>
      <c r="AF264" s="5"/>
      <c r="AG264" s="6"/>
      <c r="AH264" s="6"/>
      <c r="AI264" s="6"/>
      <c r="AJ264" s="7"/>
      <c r="AK264" s="7"/>
      <c r="AL264" s="6"/>
      <c r="AM264" s="6"/>
      <c r="AN264" s="8"/>
      <c r="AO264" s="8"/>
      <c r="AP264" s="8"/>
      <c r="AQ264" s="8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9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>
      <c r="A265" s="2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5"/>
      <c r="AD265" s="5"/>
      <c r="AE265" s="5"/>
      <c r="AF265" s="5"/>
      <c r="AG265" s="6"/>
      <c r="AH265" s="6"/>
      <c r="AI265" s="6"/>
      <c r="AJ265" s="7"/>
      <c r="AK265" s="7"/>
      <c r="AL265" s="6"/>
      <c r="AM265" s="6"/>
      <c r="AN265" s="8"/>
      <c r="AO265" s="8"/>
      <c r="AP265" s="8"/>
      <c r="AQ265" s="8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9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>
      <c r="A266" s="2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5"/>
      <c r="AD266" s="5"/>
      <c r="AE266" s="5"/>
      <c r="AF266" s="5"/>
      <c r="AG266" s="6"/>
      <c r="AH266" s="6"/>
      <c r="AI266" s="6"/>
      <c r="AJ266" s="7"/>
      <c r="AK266" s="7"/>
      <c r="AL266" s="6"/>
      <c r="AM266" s="6"/>
      <c r="AN266" s="8"/>
      <c r="AO266" s="8"/>
      <c r="AP266" s="8"/>
      <c r="AQ266" s="8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9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>
      <c r="A267" s="2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5"/>
      <c r="AD267" s="5"/>
      <c r="AE267" s="5"/>
      <c r="AF267" s="5"/>
      <c r="AG267" s="6"/>
      <c r="AH267" s="6"/>
      <c r="AI267" s="6"/>
      <c r="AJ267" s="7"/>
      <c r="AK267" s="7"/>
      <c r="AL267" s="6"/>
      <c r="AM267" s="6"/>
      <c r="AN267" s="8"/>
      <c r="AO267" s="8"/>
      <c r="AP267" s="8"/>
      <c r="AQ267" s="8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9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>
      <c r="A268" s="2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5"/>
      <c r="AD268" s="5"/>
      <c r="AE268" s="5"/>
      <c r="AF268" s="5"/>
      <c r="AG268" s="6"/>
      <c r="AH268" s="6"/>
      <c r="AI268" s="6"/>
      <c r="AJ268" s="7"/>
      <c r="AK268" s="7"/>
      <c r="AL268" s="6"/>
      <c r="AM268" s="6"/>
      <c r="AN268" s="8"/>
      <c r="AO268" s="8"/>
      <c r="AP268" s="8"/>
      <c r="AQ268" s="8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9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>
      <c r="A269" s="2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5"/>
      <c r="AD269" s="5"/>
      <c r="AE269" s="5"/>
      <c r="AF269" s="5"/>
      <c r="AG269" s="6"/>
      <c r="AH269" s="6"/>
      <c r="AI269" s="6"/>
      <c r="AJ269" s="7"/>
      <c r="AK269" s="7"/>
      <c r="AL269" s="6"/>
      <c r="AM269" s="6"/>
      <c r="AN269" s="8"/>
      <c r="AO269" s="8"/>
      <c r="AP269" s="8"/>
      <c r="AQ269" s="8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9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>
      <c r="A270" s="2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5"/>
      <c r="AD270" s="5"/>
      <c r="AE270" s="5"/>
      <c r="AF270" s="5"/>
      <c r="AG270" s="6"/>
      <c r="AH270" s="6"/>
      <c r="AI270" s="6"/>
      <c r="AJ270" s="7"/>
      <c r="AK270" s="7"/>
      <c r="AL270" s="6"/>
      <c r="AM270" s="6"/>
      <c r="AN270" s="8"/>
      <c r="AO270" s="8"/>
      <c r="AP270" s="8"/>
      <c r="AQ270" s="8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9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>
      <c r="A271" s="2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5"/>
      <c r="AD271" s="5"/>
      <c r="AE271" s="5"/>
      <c r="AF271" s="5"/>
      <c r="AG271" s="6"/>
      <c r="AH271" s="6"/>
      <c r="AI271" s="6"/>
      <c r="AJ271" s="7"/>
      <c r="AK271" s="7"/>
      <c r="AL271" s="6"/>
      <c r="AM271" s="6"/>
      <c r="AN271" s="8"/>
      <c r="AO271" s="8"/>
      <c r="AP271" s="8"/>
      <c r="AQ271" s="8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9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>
      <c r="A272" s="2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5"/>
      <c r="AD272" s="5"/>
      <c r="AE272" s="5"/>
      <c r="AF272" s="5"/>
      <c r="AG272" s="6"/>
      <c r="AH272" s="6"/>
      <c r="AI272" s="6"/>
      <c r="AJ272" s="7"/>
      <c r="AK272" s="7"/>
      <c r="AL272" s="6"/>
      <c r="AM272" s="6"/>
      <c r="AN272" s="8"/>
      <c r="AO272" s="8"/>
      <c r="AP272" s="8"/>
      <c r="AQ272" s="8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9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>
      <c r="A273" s="2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5"/>
      <c r="AD273" s="5"/>
      <c r="AE273" s="5"/>
      <c r="AF273" s="5"/>
      <c r="AG273" s="6"/>
      <c r="AH273" s="6"/>
      <c r="AI273" s="6"/>
      <c r="AJ273" s="7"/>
      <c r="AK273" s="7"/>
      <c r="AL273" s="6"/>
      <c r="AM273" s="6"/>
      <c r="AN273" s="8"/>
      <c r="AO273" s="8"/>
      <c r="AP273" s="8"/>
      <c r="AQ273" s="8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9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>
      <c r="A274" s="2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5"/>
      <c r="AD274" s="5"/>
      <c r="AE274" s="5"/>
      <c r="AF274" s="5"/>
      <c r="AG274" s="6"/>
      <c r="AH274" s="6"/>
      <c r="AI274" s="6"/>
      <c r="AJ274" s="7"/>
      <c r="AK274" s="7"/>
      <c r="AL274" s="6"/>
      <c r="AM274" s="6"/>
      <c r="AN274" s="8"/>
      <c r="AO274" s="8"/>
      <c r="AP274" s="8"/>
      <c r="AQ274" s="8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9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>
      <c r="A275" s="2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5"/>
      <c r="AD275" s="5"/>
      <c r="AE275" s="5"/>
      <c r="AF275" s="5"/>
      <c r="AG275" s="6"/>
      <c r="AH275" s="6"/>
      <c r="AI275" s="6"/>
      <c r="AJ275" s="7"/>
      <c r="AK275" s="7"/>
      <c r="AL275" s="6"/>
      <c r="AM275" s="6"/>
      <c r="AN275" s="8"/>
      <c r="AO275" s="8"/>
      <c r="AP275" s="8"/>
      <c r="AQ275" s="8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9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>
      <c r="A276" s="2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5"/>
      <c r="AD276" s="5"/>
      <c r="AE276" s="5"/>
      <c r="AF276" s="5"/>
      <c r="AG276" s="6"/>
      <c r="AH276" s="6"/>
      <c r="AI276" s="6"/>
      <c r="AJ276" s="7"/>
      <c r="AK276" s="7"/>
      <c r="AL276" s="6"/>
      <c r="AM276" s="6"/>
      <c r="AN276" s="8"/>
      <c r="AO276" s="8"/>
      <c r="AP276" s="8"/>
      <c r="AQ276" s="8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9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>
      <c r="A277" s="2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5"/>
      <c r="AD277" s="5"/>
      <c r="AE277" s="5"/>
      <c r="AF277" s="5"/>
      <c r="AG277" s="6"/>
      <c r="AH277" s="6"/>
      <c r="AI277" s="6"/>
      <c r="AJ277" s="7"/>
      <c r="AK277" s="7"/>
      <c r="AL277" s="6"/>
      <c r="AM277" s="6"/>
      <c r="AN277" s="8"/>
      <c r="AO277" s="8"/>
      <c r="AP277" s="8"/>
      <c r="AQ277" s="8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9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>
      <c r="A278" s="2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5"/>
      <c r="AD278" s="5"/>
      <c r="AE278" s="5"/>
      <c r="AF278" s="5"/>
      <c r="AG278" s="6"/>
      <c r="AH278" s="6"/>
      <c r="AI278" s="6"/>
      <c r="AJ278" s="7"/>
      <c r="AK278" s="7"/>
      <c r="AL278" s="6"/>
      <c r="AM278" s="6"/>
      <c r="AN278" s="8"/>
      <c r="AO278" s="8"/>
      <c r="AP278" s="8"/>
      <c r="AQ278" s="8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9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>
      <c r="A279" s="2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5"/>
      <c r="AD279" s="5"/>
      <c r="AE279" s="5"/>
      <c r="AF279" s="5"/>
      <c r="AG279" s="6"/>
      <c r="AH279" s="6"/>
      <c r="AI279" s="6"/>
      <c r="AJ279" s="7"/>
      <c r="AK279" s="7"/>
      <c r="AL279" s="6"/>
      <c r="AM279" s="6"/>
      <c r="AN279" s="8"/>
      <c r="AO279" s="8"/>
      <c r="AP279" s="8"/>
      <c r="AQ279" s="8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9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>
      <c r="A280" s="2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5"/>
      <c r="AD280" s="5"/>
      <c r="AE280" s="5"/>
      <c r="AF280" s="5"/>
      <c r="AG280" s="6"/>
      <c r="AH280" s="6"/>
      <c r="AI280" s="6"/>
      <c r="AJ280" s="7"/>
      <c r="AK280" s="7"/>
      <c r="AL280" s="6"/>
      <c r="AM280" s="6"/>
      <c r="AN280" s="8"/>
      <c r="AO280" s="8"/>
      <c r="AP280" s="8"/>
      <c r="AQ280" s="8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9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>
      <c r="A281" s="2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5"/>
      <c r="AD281" s="5"/>
      <c r="AE281" s="5"/>
      <c r="AF281" s="5"/>
      <c r="AG281" s="6"/>
      <c r="AH281" s="6"/>
      <c r="AI281" s="6"/>
      <c r="AJ281" s="7"/>
      <c r="AK281" s="7"/>
      <c r="AL281" s="6"/>
      <c r="AM281" s="6"/>
      <c r="AN281" s="8"/>
      <c r="AO281" s="8"/>
      <c r="AP281" s="8"/>
      <c r="AQ281" s="8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9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>
      <c r="A282" s="2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5"/>
      <c r="AD282" s="5"/>
      <c r="AE282" s="5"/>
      <c r="AF282" s="5"/>
      <c r="AG282" s="6"/>
      <c r="AH282" s="6"/>
      <c r="AI282" s="6"/>
      <c r="AJ282" s="7"/>
      <c r="AK282" s="7"/>
      <c r="AL282" s="6"/>
      <c r="AM282" s="6"/>
      <c r="AN282" s="8"/>
      <c r="AO282" s="8"/>
      <c r="AP282" s="8"/>
      <c r="AQ282" s="8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9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>
      <c r="A283" s="2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5"/>
      <c r="AD283" s="5"/>
      <c r="AE283" s="5"/>
      <c r="AF283" s="5"/>
      <c r="AG283" s="6"/>
      <c r="AH283" s="6"/>
      <c r="AI283" s="6"/>
      <c r="AJ283" s="7"/>
      <c r="AK283" s="7"/>
      <c r="AL283" s="6"/>
      <c r="AM283" s="6"/>
      <c r="AN283" s="8"/>
      <c r="AO283" s="8"/>
      <c r="AP283" s="8"/>
      <c r="AQ283" s="8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9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>
      <c r="A284" s="2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5"/>
      <c r="AD284" s="5"/>
      <c r="AE284" s="5"/>
      <c r="AF284" s="5"/>
      <c r="AG284" s="6"/>
      <c r="AH284" s="6"/>
      <c r="AI284" s="6"/>
      <c r="AJ284" s="7"/>
      <c r="AK284" s="7"/>
      <c r="AL284" s="6"/>
      <c r="AM284" s="6"/>
      <c r="AN284" s="8"/>
      <c r="AO284" s="8"/>
      <c r="AP284" s="8"/>
      <c r="AQ284" s="8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9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>
      <c r="A285" s="2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5"/>
      <c r="AD285" s="5"/>
      <c r="AE285" s="5"/>
      <c r="AF285" s="5"/>
      <c r="AG285" s="6"/>
      <c r="AH285" s="6"/>
      <c r="AI285" s="6"/>
      <c r="AJ285" s="7"/>
      <c r="AK285" s="7"/>
      <c r="AL285" s="6"/>
      <c r="AM285" s="6"/>
      <c r="AN285" s="8"/>
      <c r="AO285" s="8"/>
      <c r="AP285" s="8"/>
      <c r="AQ285" s="8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9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>
      <c r="A286" s="2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5"/>
      <c r="AD286" s="5"/>
      <c r="AE286" s="5"/>
      <c r="AF286" s="5"/>
      <c r="AG286" s="6"/>
      <c r="AH286" s="6"/>
      <c r="AI286" s="6"/>
      <c r="AJ286" s="7"/>
      <c r="AK286" s="7"/>
      <c r="AL286" s="6"/>
      <c r="AM286" s="6"/>
      <c r="AN286" s="8"/>
      <c r="AO286" s="8"/>
      <c r="AP286" s="8"/>
      <c r="AQ286" s="8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9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>
      <c r="A287" s="2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5"/>
      <c r="AD287" s="5"/>
      <c r="AE287" s="5"/>
      <c r="AF287" s="5"/>
      <c r="AG287" s="6"/>
      <c r="AH287" s="6"/>
      <c r="AI287" s="6"/>
      <c r="AJ287" s="7"/>
      <c r="AK287" s="7"/>
      <c r="AL287" s="6"/>
      <c r="AM287" s="6"/>
      <c r="AN287" s="8"/>
      <c r="AO287" s="8"/>
      <c r="AP287" s="8"/>
      <c r="AQ287" s="8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9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>
      <c r="A288" s="2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5"/>
      <c r="AD288" s="5"/>
      <c r="AE288" s="5"/>
      <c r="AF288" s="5"/>
      <c r="AG288" s="6"/>
      <c r="AH288" s="6"/>
      <c r="AI288" s="6"/>
      <c r="AJ288" s="7"/>
      <c r="AK288" s="7"/>
      <c r="AL288" s="6"/>
      <c r="AM288" s="6"/>
      <c r="AN288" s="8"/>
      <c r="AO288" s="8"/>
      <c r="AP288" s="8"/>
      <c r="AQ288" s="8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9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>
      <c r="A289" s="2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5"/>
      <c r="AD289" s="5"/>
      <c r="AE289" s="5"/>
      <c r="AF289" s="5"/>
      <c r="AG289" s="6"/>
      <c r="AH289" s="6"/>
      <c r="AI289" s="6"/>
      <c r="AJ289" s="7"/>
      <c r="AK289" s="7"/>
      <c r="AL289" s="6"/>
      <c r="AM289" s="6"/>
      <c r="AN289" s="8"/>
      <c r="AO289" s="8"/>
      <c r="AP289" s="8"/>
      <c r="AQ289" s="8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9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>
      <c r="A290" s="2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5"/>
      <c r="AD290" s="5"/>
      <c r="AE290" s="5"/>
      <c r="AF290" s="5"/>
      <c r="AG290" s="6"/>
      <c r="AH290" s="6"/>
      <c r="AI290" s="6"/>
      <c r="AJ290" s="7"/>
      <c r="AK290" s="7"/>
      <c r="AL290" s="6"/>
      <c r="AM290" s="6"/>
      <c r="AN290" s="8"/>
      <c r="AO290" s="8"/>
      <c r="AP290" s="8"/>
      <c r="AQ290" s="8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9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>
      <c r="A291" s="2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5"/>
      <c r="AD291" s="5"/>
      <c r="AE291" s="5"/>
      <c r="AF291" s="5"/>
      <c r="AG291" s="6"/>
      <c r="AH291" s="6"/>
      <c r="AI291" s="6"/>
      <c r="AJ291" s="7"/>
      <c r="AK291" s="7"/>
      <c r="AL291" s="6"/>
      <c r="AM291" s="6"/>
      <c r="AN291" s="8"/>
      <c r="AO291" s="8"/>
      <c r="AP291" s="8"/>
      <c r="AQ291" s="8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9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>
      <c r="A292" s="2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5"/>
      <c r="AD292" s="5"/>
      <c r="AE292" s="5"/>
      <c r="AF292" s="5"/>
      <c r="AG292" s="6"/>
      <c r="AH292" s="6"/>
      <c r="AI292" s="6"/>
      <c r="AJ292" s="7"/>
      <c r="AK292" s="7"/>
      <c r="AL292" s="6"/>
      <c r="AM292" s="6"/>
      <c r="AN292" s="8"/>
      <c r="AO292" s="8"/>
      <c r="AP292" s="8"/>
      <c r="AQ292" s="8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9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>
      <c r="A293" s="2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5"/>
      <c r="AD293" s="5"/>
      <c r="AE293" s="5"/>
      <c r="AF293" s="5"/>
      <c r="AG293" s="6"/>
      <c r="AH293" s="6"/>
      <c r="AI293" s="6"/>
      <c r="AJ293" s="7"/>
      <c r="AK293" s="7"/>
      <c r="AL293" s="6"/>
      <c r="AM293" s="6"/>
      <c r="AN293" s="8"/>
      <c r="AO293" s="8"/>
      <c r="AP293" s="8"/>
      <c r="AQ293" s="8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9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>
      <c r="A294" s="2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5"/>
      <c r="AD294" s="5"/>
      <c r="AE294" s="5"/>
      <c r="AF294" s="5"/>
      <c r="AG294" s="6"/>
      <c r="AH294" s="6"/>
      <c r="AI294" s="6"/>
      <c r="AJ294" s="7"/>
      <c r="AK294" s="7"/>
      <c r="AL294" s="6"/>
      <c r="AM294" s="6"/>
      <c r="AN294" s="8"/>
      <c r="AO294" s="8"/>
      <c r="AP294" s="8"/>
      <c r="AQ294" s="8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9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>
      <c r="A295" s="2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5"/>
      <c r="AD295" s="5"/>
      <c r="AE295" s="5"/>
      <c r="AF295" s="5"/>
      <c r="AG295" s="6"/>
      <c r="AH295" s="6"/>
      <c r="AI295" s="6"/>
      <c r="AJ295" s="7"/>
      <c r="AK295" s="7"/>
      <c r="AL295" s="6"/>
      <c r="AM295" s="6"/>
      <c r="AN295" s="8"/>
      <c r="AO295" s="8"/>
      <c r="AP295" s="8"/>
      <c r="AQ295" s="8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9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>
      <c r="A296" s="2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5"/>
      <c r="AD296" s="5"/>
      <c r="AE296" s="5"/>
      <c r="AF296" s="5"/>
      <c r="AG296" s="6"/>
      <c r="AH296" s="6"/>
      <c r="AI296" s="6"/>
      <c r="AJ296" s="7"/>
      <c r="AK296" s="7"/>
      <c r="AL296" s="6"/>
      <c r="AM296" s="6"/>
      <c r="AN296" s="8"/>
      <c r="AO296" s="8"/>
      <c r="AP296" s="8"/>
      <c r="AQ296" s="8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9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>
      <c r="A297" s="2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5"/>
      <c r="AD297" s="5"/>
      <c r="AE297" s="5"/>
      <c r="AF297" s="5"/>
      <c r="AG297" s="6"/>
      <c r="AH297" s="6"/>
      <c r="AI297" s="6"/>
      <c r="AJ297" s="7"/>
      <c r="AK297" s="7"/>
      <c r="AL297" s="6"/>
      <c r="AM297" s="6"/>
      <c r="AN297" s="8"/>
      <c r="AO297" s="8"/>
      <c r="AP297" s="8"/>
      <c r="AQ297" s="8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9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>
      <c r="A298" s="2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5"/>
      <c r="AD298" s="5"/>
      <c r="AE298" s="5"/>
      <c r="AF298" s="5"/>
      <c r="AG298" s="6"/>
      <c r="AH298" s="6"/>
      <c r="AI298" s="6"/>
      <c r="AJ298" s="7"/>
      <c r="AK298" s="7"/>
      <c r="AL298" s="6"/>
      <c r="AM298" s="6"/>
      <c r="AN298" s="8"/>
      <c r="AO298" s="8"/>
      <c r="AP298" s="8"/>
      <c r="AQ298" s="8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9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>
      <c r="A299" s="2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5"/>
      <c r="AD299" s="5"/>
      <c r="AE299" s="5"/>
      <c r="AF299" s="5"/>
      <c r="AG299" s="6"/>
      <c r="AH299" s="6"/>
      <c r="AI299" s="6"/>
      <c r="AJ299" s="7"/>
      <c r="AK299" s="7"/>
      <c r="AL299" s="6"/>
      <c r="AM299" s="6"/>
      <c r="AN299" s="8"/>
      <c r="AO299" s="8"/>
      <c r="AP299" s="8"/>
      <c r="AQ299" s="8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9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>
      <c r="A300" s="2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5"/>
      <c r="AD300" s="5"/>
      <c r="AE300" s="5"/>
      <c r="AF300" s="5"/>
      <c r="AG300" s="6"/>
      <c r="AH300" s="6"/>
      <c r="AI300" s="6"/>
      <c r="AJ300" s="7"/>
      <c r="AK300" s="7"/>
      <c r="AL300" s="6"/>
      <c r="AM300" s="6"/>
      <c r="AN300" s="8"/>
      <c r="AO300" s="8"/>
      <c r="AP300" s="8"/>
      <c r="AQ300" s="8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9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>
      <c r="A301" s="2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5"/>
      <c r="AD301" s="5"/>
      <c r="AE301" s="5"/>
      <c r="AF301" s="5"/>
      <c r="AG301" s="6"/>
      <c r="AH301" s="6"/>
      <c r="AI301" s="6"/>
      <c r="AJ301" s="7"/>
      <c r="AK301" s="7"/>
      <c r="AL301" s="6"/>
      <c r="AM301" s="6"/>
      <c r="AN301" s="8"/>
      <c r="AO301" s="8"/>
      <c r="AP301" s="8"/>
      <c r="AQ301" s="8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9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>
      <c r="A302" s="2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5"/>
      <c r="AD302" s="5"/>
      <c r="AE302" s="5"/>
      <c r="AF302" s="5"/>
      <c r="AG302" s="6"/>
      <c r="AH302" s="6"/>
      <c r="AI302" s="6"/>
      <c r="AJ302" s="7"/>
      <c r="AK302" s="7"/>
      <c r="AL302" s="6"/>
      <c r="AM302" s="6"/>
      <c r="AN302" s="8"/>
      <c r="AO302" s="8"/>
      <c r="AP302" s="8"/>
      <c r="AQ302" s="8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9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>
      <c r="A303" s="2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5"/>
      <c r="AD303" s="5"/>
      <c r="AE303" s="5"/>
      <c r="AF303" s="5"/>
      <c r="AG303" s="6"/>
      <c r="AH303" s="6"/>
      <c r="AI303" s="6"/>
      <c r="AJ303" s="7"/>
      <c r="AK303" s="7"/>
      <c r="AL303" s="6"/>
      <c r="AM303" s="6"/>
      <c r="AN303" s="8"/>
      <c r="AO303" s="8"/>
      <c r="AP303" s="8"/>
      <c r="AQ303" s="8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9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>
      <c r="A304" s="2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5"/>
      <c r="AD304" s="5"/>
      <c r="AE304" s="5"/>
      <c r="AF304" s="5"/>
      <c r="AG304" s="6"/>
      <c r="AH304" s="6"/>
      <c r="AI304" s="6"/>
      <c r="AJ304" s="7"/>
      <c r="AK304" s="7"/>
      <c r="AL304" s="6"/>
      <c r="AM304" s="6"/>
      <c r="AN304" s="8"/>
      <c r="AO304" s="8"/>
      <c r="AP304" s="8"/>
      <c r="AQ304" s="8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9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>
      <c r="A305" s="2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5"/>
      <c r="AD305" s="5"/>
      <c r="AE305" s="5"/>
      <c r="AF305" s="5"/>
      <c r="AG305" s="6"/>
      <c r="AH305" s="6"/>
      <c r="AI305" s="6"/>
      <c r="AJ305" s="7"/>
      <c r="AK305" s="7"/>
      <c r="AL305" s="6"/>
      <c r="AM305" s="6"/>
      <c r="AN305" s="8"/>
      <c r="AO305" s="8"/>
      <c r="AP305" s="8"/>
      <c r="AQ305" s="8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9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>
      <c r="A306" s="2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5"/>
      <c r="AD306" s="5"/>
      <c r="AE306" s="5"/>
      <c r="AF306" s="5"/>
      <c r="AG306" s="6"/>
      <c r="AH306" s="6"/>
      <c r="AI306" s="6"/>
      <c r="AJ306" s="7"/>
      <c r="AK306" s="7"/>
      <c r="AL306" s="6"/>
      <c r="AM306" s="6"/>
      <c r="AN306" s="8"/>
      <c r="AO306" s="8"/>
      <c r="AP306" s="8"/>
      <c r="AQ306" s="8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9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>
      <c r="A307" s="2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5"/>
      <c r="AD307" s="5"/>
      <c r="AE307" s="5"/>
      <c r="AF307" s="5"/>
      <c r="AG307" s="6"/>
      <c r="AH307" s="6"/>
      <c r="AI307" s="6"/>
      <c r="AJ307" s="7"/>
      <c r="AK307" s="7"/>
      <c r="AL307" s="6"/>
      <c r="AM307" s="6"/>
      <c r="AN307" s="8"/>
      <c r="AO307" s="8"/>
      <c r="AP307" s="8"/>
      <c r="AQ307" s="8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9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>
      <c r="A308" s="2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5"/>
      <c r="AD308" s="5"/>
      <c r="AE308" s="5"/>
      <c r="AF308" s="5"/>
      <c r="AG308" s="6"/>
      <c r="AH308" s="6"/>
      <c r="AI308" s="6"/>
      <c r="AJ308" s="7"/>
      <c r="AK308" s="7"/>
      <c r="AL308" s="6"/>
      <c r="AM308" s="6"/>
      <c r="AN308" s="8"/>
      <c r="AO308" s="8"/>
      <c r="AP308" s="8"/>
      <c r="AQ308" s="8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9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>
      <c r="A309" s="2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5"/>
      <c r="AD309" s="5"/>
      <c r="AE309" s="5"/>
      <c r="AF309" s="5"/>
      <c r="AG309" s="6"/>
      <c r="AH309" s="6"/>
      <c r="AI309" s="6"/>
      <c r="AJ309" s="7"/>
      <c r="AK309" s="7"/>
      <c r="AL309" s="6"/>
      <c r="AM309" s="6"/>
      <c r="AN309" s="8"/>
      <c r="AO309" s="8"/>
      <c r="AP309" s="8"/>
      <c r="AQ309" s="8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9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>
      <c r="A310" s="2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5"/>
      <c r="AD310" s="5"/>
      <c r="AE310" s="5"/>
      <c r="AF310" s="5"/>
      <c r="AG310" s="6"/>
      <c r="AH310" s="6"/>
      <c r="AI310" s="6"/>
      <c r="AJ310" s="7"/>
      <c r="AK310" s="7"/>
      <c r="AL310" s="6"/>
      <c r="AM310" s="6"/>
      <c r="AN310" s="8"/>
      <c r="AO310" s="8"/>
      <c r="AP310" s="8"/>
      <c r="AQ310" s="8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9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>
      <c r="A311" s="2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5"/>
      <c r="AD311" s="5"/>
      <c r="AE311" s="5"/>
      <c r="AF311" s="5"/>
      <c r="AG311" s="6"/>
      <c r="AH311" s="6"/>
      <c r="AI311" s="6"/>
      <c r="AJ311" s="7"/>
      <c r="AK311" s="7"/>
      <c r="AL311" s="6"/>
      <c r="AM311" s="6"/>
      <c r="AN311" s="8"/>
      <c r="AO311" s="8"/>
      <c r="AP311" s="8"/>
      <c r="AQ311" s="8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9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>
      <c r="A312" s="2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5"/>
      <c r="AD312" s="5"/>
      <c r="AE312" s="5"/>
      <c r="AF312" s="5"/>
      <c r="AG312" s="6"/>
      <c r="AH312" s="6"/>
      <c r="AI312" s="6"/>
      <c r="AJ312" s="7"/>
      <c r="AK312" s="7"/>
      <c r="AL312" s="6"/>
      <c r="AM312" s="6"/>
      <c r="AN312" s="8"/>
      <c r="AO312" s="8"/>
      <c r="AP312" s="8"/>
      <c r="AQ312" s="8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9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>
      <c r="A313" s="2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5"/>
      <c r="AD313" s="5"/>
      <c r="AE313" s="5"/>
      <c r="AF313" s="5"/>
      <c r="AG313" s="6"/>
      <c r="AH313" s="6"/>
      <c r="AI313" s="6"/>
      <c r="AJ313" s="7"/>
      <c r="AK313" s="7"/>
      <c r="AL313" s="6"/>
      <c r="AM313" s="6"/>
      <c r="AN313" s="8"/>
      <c r="AO313" s="8"/>
      <c r="AP313" s="8"/>
      <c r="AQ313" s="8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9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>
      <c r="A314" s="2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5"/>
      <c r="AD314" s="5"/>
      <c r="AE314" s="5"/>
      <c r="AF314" s="5"/>
      <c r="AG314" s="6"/>
      <c r="AH314" s="6"/>
      <c r="AI314" s="6"/>
      <c r="AJ314" s="7"/>
      <c r="AK314" s="7"/>
      <c r="AL314" s="6"/>
      <c r="AM314" s="6"/>
      <c r="AN314" s="8"/>
      <c r="AO314" s="8"/>
      <c r="AP314" s="8"/>
      <c r="AQ314" s="8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9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>
      <c r="A315" s="2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5"/>
      <c r="AD315" s="5"/>
      <c r="AE315" s="5"/>
      <c r="AF315" s="5"/>
      <c r="AG315" s="6"/>
      <c r="AH315" s="6"/>
      <c r="AI315" s="6"/>
      <c r="AJ315" s="7"/>
      <c r="AK315" s="7"/>
      <c r="AL315" s="6"/>
      <c r="AM315" s="6"/>
      <c r="AN315" s="8"/>
      <c r="AO315" s="8"/>
      <c r="AP315" s="8"/>
      <c r="AQ315" s="8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9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>
      <c r="A316" s="2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5"/>
      <c r="AD316" s="5"/>
      <c r="AE316" s="5"/>
      <c r="AF316" s="5"/>
      <c r="AG316" s="6"/>
      <c r="AH316" s="6"/>
      <c r="AI316" s="6"/>
      <c r="AJ316" s="7"/>
      <c r="AK316" s="7"/>
      <c r="AL316" s="6"/>
      <c r="AM316" s="6"/>
      <c r="AN316" s="8"/>
      <c r="AO316" s="8"/>
      <c r="AP316" s="8"/>
      <c r="AQ316" s="8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9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>
      <c r="A317" s="2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5"/>
      <c r="AD317" s="5"/>
      <c r="AE317" s="5"/>
      <c r="AF317" s="5"/>
      <c r="AG317" s="6"/>
      <c r="AH317" s="6"/>
      <c r="AI317" s="6"/>
      <c r="AJ317" s="7"/>
      <c r="AK317" s="7"/>
      <c r="AL317" s="6"/>
      <c r="AM317" s="6"/>
      <c r="AN317" s="8"/>
      <c r="AO317" s="8"/>
      <c r="AP317" s="8"/>
      <c r="AQ317" s="8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9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>
      <c r="A318" s="2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5"/>
      <c r="AD318" s="5"/>
      <c r="AE318" s="5"/>
      <c r="AF318" s="5"/>
      <c r="AG318" s="6"/>
      <c r="AH318" s="6"/>
      <c r="AI318" s="6"/>
      <c r="AJ318" s="7"/>
      <c r="AK318" s="7"/>
      <c r="AL318" s="6"/>
      <c r="AM318" s="6"/>
      <c r="AN318" s="8"/>
      <c r="AO318" s="8"/>
      <c r="AP318" s="8"/>
      <c r="AQ318" s="8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9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>
      <c r="A319" s="2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5"/>
      <c r="AD319" s="5"/>
      <c r="AE319" s="5"/>
      <c r="AF319" s="5"/>
      <c r="AG319" s="6"/>
      <c r="AH319" s="6"/>
      <c r="AI319" s="6"/>
      <c r="AJ319" s="7"/>
      <c r="AK319" s="7"/>
      <c r="AL319" s="6"/>
      <c r="AM319" s="6"/>
      <c r="AN319" s="8"/>
      <c r="AO319" s="8"/>
      <c r="AP319" s="8"/>
      <c r="AQ319" s="8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9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>
      <c r="A320" s="2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5"/>
      <c r="AD320" s="5"/>
      <c r="AE320" s="5"/>
      <c r="AF320" s="5"/>
      <c r="AG320" s="6"/>
      <c r="AH320" s="6"/>
      <c r="AI320" s="6"/>
      <c r="AJ320" s="7"/>
      <c r="AK320" s="7"/>
      <c r="AL320" s="6"/>
      <c r="AM320" s="6"/>
      <c r="AN320" s="8"/>
      <c r="AO320" s="8"/>
      <c r="AP320" s="8"/>
      <c r="AQ320" s="8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9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>
      <c r="A321" s="2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5"/>
      <c r="AD321" s="5"/>
      <c r="AE321" s="5"/>
      <c r="AF321" s="5"/>
      <c r="AG321" s="6"/>
      <c r="AH321" s="6"/>
      <c r="AI321" s="6"/>
      <c r="AJ321" s="7"/>
      <c r="AK321" s="7"/>
      <c r="AL321" s="6"/>
      <c r="AM321" s="6"/>
      <c r="AN321" s="8"/>
      <c r="AO321" s="8"/>
      <c r="AP321" s="8"/>
      <c r="AQ321" s="8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9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>
      <c r="A322" s="2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5"/>
      <c r="AD322" s="5"/>
      <c r="AE322" s="5"/>
      <c r="AF322" s="5"/>
      <c r="AG322" s="6"/>
      <c r="AH322" s="6"/>
      <c r="AI322" s="6"/>
      <c r="AJ322" s="7"/>
      <c r="AK322" s="7"/>
      <c r="AL322" s="6"/>
      <c r="AM322" s="6"/>
      <c r="AN322" s="8"/>
      <c r="AO322" s="8"/>
      <c r="AP322" s="8"/>
      <c r="AQ322" s="8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9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>
      <c r="A323" s="2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5"/>
      <c r="AD323" s="5"/>
      <c r="AE323" s="5"/>
      <c r="AF323" s="5"/>
      <c r="AG323" s="6"/>
      <c r="AH323" s="6"/>
      <c r="AI323" s="6"/>
      <c r="AJ323" s="7"/>
      <c r="AK323" s="7"/>
      <c r="AL323" s="6"/>
      <c r="AM323" s="6"/>
      <c r="AN323" s="8"/>
      <c r="AO323" s="8"/>
      <c r="AP323" s="8"/>
      <c r="AQ323" s="8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9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>
      <c r="A324" s="2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5"/>
      <c r="AD324" s="5"/>
      <c r="AE324" s="5"/>
      <c r="AF324" s="5"/>
      <c r="AG324" s="6"/>
      <c r="AH324" s="6"/>
      <c r="AI324" s="6"/>
      <c r="AJ324" s="7"/>
      <c r="AK324" s="7"/>
      <c r="AL324" s="6"/>
      <c r="AM324" s="6"/>
      <c r="AN324" s="8"/>
      <c r="AO324" s="8"/>
      <c r="AP324" s="8"/>
      <c r="AQ324" s="8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9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>
      <c r="A325" s="2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5"/>
      <c r="AD325" s="5"/>
      <c r="AE325" s="5"/>
      <c r="AF325" s="5"/>
      <c r="AG325" s="6"/>
      <c r="AH325" s="6"/>
      <c r="AI325" s="6"/>
      <c r="AJ325" s="7"/>
      <c r="AK325" s="7"/>
      <c r="AL325" s="6"/>
      <c r="AM325" s="6"/>
      <c r="AN325" s="8"/>
      <c r="AO325" s="8"/>
      <c r="AP325" s="8"/>
      <c r="AQ325" s="8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9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>
      <c r="A326" s="2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5"/>
      <c r="AD326" s="5"/>
      <c r="AE326" s="5"/>
      <c r="AF326" s="5"/>
      <c r="AG326" s="6"/>
      <c r="AH326" s="6"/>
      <c r="AI326" s="6"/>
      <c r="AJ326" s="7"/>
      <c r="AK326" s="7"/>
      <c r="AL326" s="6"/>
      <c r="AM326" s="6"/>
      <c r="AN326" s="8"/>
      <c r="AO326" s="8"/>
      <c r="AP326" s="8"/>
      <c r="AQ326" s="8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9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>
      <c r="A327" s="2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5"/>
      <c r="AD327" s="5"/>
      <c r="AE327" s="5"/>
      <c r="AF327" s="5"/>
      <c r="AG327" s="6"/>
      <c r="AH327" s="6"/>
      <c r="AI327" s="6"/>
      <c r="AJ327" s="7"/>
      <c r="AK327" s="7"/>
      <c r="AL327" s="6"/>
      <c r="AM327" s="6"/>
      <c r="AN327" s="8"/>
      <c r="AO327" s="8"/>
      <c r="AP327" s="8"/>
      <c r="AQ327" s="8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9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>
      <c r="A328" s="2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5"/>
      <c r="AD328" s="5"/>
      <c r="AE328" s="5"/>
      <c r="AF328" s="5"/>
      <c r="AG328" s="6"/>
      <c r="AH328" s="6"/>
      <c r="AI328" s="6"/>
      <c r="AJ328" s="7"/>
      <c r="AK328" s="7"/>
      <c r="AL328" s="6"/>
      <c r="AM328" s="6"/>
      <c r="AN328" s="8"/>
      <c r="AO328" s="8"/>
      <c r="AP328" s="8"/>
      <c r="AQ328" s="8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9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>
      <c r="A329" s="2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5"/>
      <c r="AD329" s="5"/>
      <c r="AE329" s="5"/>
      <c r="AF329" s="5"/>
      <c r="AG329" s="6"/>
      <c r="AH329" s="6"/>
      <c r="AI329" s="6"/>
      <c r="AJ329" s="7"/>
      <c r="AK329" s="7"/>
      <c r="AL329" s="6"/>
      <c r="AM329" s="6"/>
      <c r="AN329" s="8"/>
      <c r="AO329" s="8"/>
      <c r="AP329" s="8"/>
      <c r="AQ329" s="8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9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>
      <c r="A330" s="2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5"/>
      <c r="AD330" s="5"/>
      <c r="AE330" s="5"/>
      <c r="AF330" s="5"/>
      <c r="AG330" s="6"/>
      <c r="AH330" s="6"/>
      <c r="AI330" s="6"/>
      <c r="AJ330" s="7"/>
      <c r="AK330" s="7"/>
      <c r="AL330" s="6"/>
      <c r="AM330" s="6"/>
      <c r="AN330" s="8"/>
      <c r="AO330" s="8"/>
      <c r="AP330" s="8"/>
      <c r="AQ330" s="8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9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>
      <c r="A331" s="2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5"/>
      <c r="AD331" s="5"/>
      <c r="AE331" s="5"/>
      <c r="AF331" s="5"/>
      <c r="AG331" s="6"/>
      <c r="AH331" s="6"/>
      <c r="AI331" s="6"/>
      <c r="AJ331" s="7"/>
      <c r="AK331" s="7"/>
      <c r="AL331" s="6"/>
      <c r="AM331" s="6"/>
      <c r="AN331" s="8"/>
      <c r="AO331" s="8"/>
      <c r="AP331" s="8"/>
      <c r="AQ331" s="8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9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>
      <c r="A332" s="2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5"/>
      <c r="AD332" s="5"/>
      <c r="AE332" s="5"/>
      <c r="AF332" s="5"/>
      <c r="AG332" s="6"/>
      <c r="AH332" s="6"/>
      <c r="AI332" s="6"/>
      <c r="AJ332" s="7"/>
      <c r="AK332" s="7"/>
      <c r="AL332" s="6"/>
      <c r="AM332" s="6"/>
      <c r="AN332" s="8"/>
      <c r="AO332" s="8"/>
      <c r="AP332" s="8"/>
      <c r="AQ332" s="8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9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>
      <c r="A333" s="2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5"/>
      <c r="AD333" s="5"/>
      <c r="AE333" s="5"/>
      <c r="AF333" s="5"/>
      <c r="AG333" s="6"/>
      <c r="AH333" s="6"/>
      <c r="AI333" s="6"/>
      <c r="AJ333" s="7"/>
      <c r="AK333" s="7"/>
      <c r="AL333" s="6"/>
      <c r="AM333" s="6"/>
      <c r="AN333" s="8"/>
      <c r="AO333" s="8"/>
      <c r="AP333" s="8"/>
      <c r="AQ333" s="8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9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>
      <c r="A334" s="2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5"/>
      <c r="AD334" s="5"/>
      <c r="AE334" s="5"/>
      <c r="AF334" s="5"/>
      <c r="AG334" s="6"/>
      <c r="AH334" s="6"/>
      <c r="AI334" s="6"/>
      <c r="AJ334" s="7"/>
      <c r="AK334" s="7"/>
      <c r="AL334" s="6"/>
      <c r="AM334" s="6"/>
      <c r="AN334" s="8"/>
      <c r="AO334" s="8"/>
      <c r="AP334" s="8"/>
      <c r="AQ334" s="8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9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>
      <c r="A335" s="2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5"/>
      <c r="AD335" s="5"/>
      <c r="AE335" s="5"/>
      <c r="AF335" s="5"/>
      <c r="AG335" s="6"/>
      <c r="AH335" s="6"/>
      <c r="AI335" s="6"/>
      <c r="AJ335" s="7"/>
      <c r="AK335" s="7"/>
      <c r="AL335" s="6"/>
      <c r="AM335" s="6"/>
      <c r="AN335" s="8"/>
      <c r="AO335" s="8"/>
      <c r="AP335" s="8"/>
      <c r="AQ335" s="8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9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>
      <c r="A336" s="2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5"/>
      <c r="AD336" s="5"/>
      <c r="AE336" s="5"/>
      <c r="AF336" s="5"/>
      <c r="AG336" s="6"/>
      <c r="AH336" s="6"/>
      <c r="AI336" s="6"/>
      <c r="AJ336" s="7"/>
      <c r="AK336" s="7"/>
      <c r="AL336" s="6"/>
      <c r="AM336" s="6"/>
      <c r="AN336" s="8"/>
      <c r="AO336" s="8"/>
      <c r="AP336" s="8"/>
      <c r="AQ336" s="8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9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>
      <c r="A337" s="2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5"/>
      <c r="AD337" s="5"/>
      <c r="AE337" s="5"/>
      <c r="AF337" s="5"/>
      <c r="AG337" s="6"/>
      <c r="AH337" s="6"/>
      <c r="AI337" s="6"/>
      <c r="AJ337" s="7"/>
      <c r="AK337" s="7"/>
      <c r="AL337" s="6"/>
      <c r="AM337" s="6"/>
      <c r="AN337" s="8"/>
      <c r="AO337" s="8"/>
      <c r="AP337" s="8"/>
      <c r="AQ337" s="8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9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>
      <c r="A338" s="2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5"/>
      <c r="AD338" s="5"/>
      <c r="AE338" s="5"/>
      <c r="AF338" s="5"/>
      <c r="AG338" s="6"/>
      <c r="AH338" s="6"/>
      <c r="AI338" s="6"/>
      <c r="AJ338" s="7"/>
      <c r="AK338" s="7"/>
      <c r="AL338" s="6"/>
      <c r="AM338" s="6"/>
      <c r="AN338" s="8"/>
      <c r="AO338" s="8"/>
      <c r="AP338" s="8"/>
      <c r="AQ338" s="8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9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>
      <c r="A339" s="2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5"/>
      <c r="AD339" s="5"/>
      <c r="AE339" s="5"/>
      <c r="AF339" s="5"/>
      <c r="AG339" s="6"/>
      <c r="AH339" s="6"/>
      <c r="AI339" s="6"/>
      <c r="AJ339" s="7"/>
      <c r="AK339" s="7"/>
      <c r="AL339" s="6"/>
      <c r="AM339" s="6"/>
      <c r="AN339" s="8"/>
      <c r="AO339" s="8"/>
      <c r="AP339" s="8"/>
      <c r="AQ339" s="8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9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>
      <c r="A340" s="2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5"/>
      <c r="AD340" s="5"/>
      <c r="AE340" s="5"/>
      <c r="AF340" s="5"/>
      <c r="AG340" s="6"/>
      <c r="AH340" s="6"/>
      <c r="AI340" s="6"/>
      <c r="AJ340" s="7"/>
      <c r="AK340" s="7"/>
      <c r="AL340" s="6"/>
      <c r="AM340" s="6"/>
      <c r="AN340" s="8"/>
      <c r="AO340" s="8"/>
      <c r="AP340" s="8"/>
      <c r="AQ340" s="8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9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>
      <c r="A341" s="2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5"/>
      <c r="AD341" s="5"/>
      <c r="AE341" s="5"/>
      <c r="AF341" s="5"/>
      <c r="AG341" s="6"/>
      <c r="AH341" s="6"/>
      <c r="AI341" s="6"/>
      <c r="AJ341" s="7"/>
      <c r="AK341" s="7"/>
      <c r="AL341" s="6"/>
      <c r="AM341" s="6"/>
      <c r="AN341" s="8"/>
      <c r="AO341" s="8"/>
      <c r="AP341" s="8"/>
      <c r="AQ341" s="8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9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>
      <c r="A342" s="2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5"/>
      <c r="AD342" s="5"/>
      <c r="AE342" s="5"/>
      <c r="AF342" s="5"/>
      <c r="AG342" s="6"/>
      <c r="AH342" s="6"/>
      <c r="AI342" s="6"/>
      <c r="AJ342" s="7"/>
      <c r="AK342" s="7"/>
      <c r="AL342" s="6"/>
      <c r="AM342" s="6"/>
      <c r="AN342" s="8"/>
      <c r="AO342" s="8"/>
      <c r="AP342" s="8"/>
      <c r="AQ342" s="8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9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>
      <c r="A343" s="2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5"/>
      <c r="AD343" s="5"/>
      <c r="AE343" s="5"/>
      <c r="AF343" s="5"/>
      <c r="AG343" s="6"/>
      <c r="AH343" s="6"/>
      <c r="AI343" s="6"/>
      <c r="AJ343" s="7"/>
      <c r="AK343" s="7"/>
      <c r="AL343" s="6"/>
      <c r="AM343" s="6"/>
      <c r="AN343" s="8"/>
      <c r="AO343" s="8"/>
      <c r="AP343" s="8"/>
      <c r="AQ343" s="8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9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>
      <c r="A344" s="2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5"/>
      <c r="AD344" s="5"/>
      <c r="AE344" s="5"/>
      <c r="AF344" s="5"/>
      <c r="AG344" s="6"/>
      <c r="AH344" s="6"/>
      <c r="AI344" s="6"/>
      <c r="AJ344" s="7"/>
      <c r="AK344" s="7"/>
      <c r="AL344" s="6"/>
      <c r="AM344" s="6"/>
      <c r="AN344" s="8"/>
      <c r="AO344" s="8"/>
      <c r="AP344" s="8"/>
      <c r="AQ344" s="8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9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>
      <c r="A345" s="2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5"/>
      <c r="AD345" s="5"/>
      <c r="AE345" s="5"/>
      <c r="AF345" s="5"/>
      <c r="AG345" s="6"/>
      <c r="AH345" s="6"/>
      <c r="AI345" s="6"/>
      <c r="AJ345" s="7"/>
      <c r="AK345" s="7"/>
      <c r="AL345" s="6"/>
      <c r="AM345" s="6"/>
      <c r="AN345" s="8"/>
      <c r="AO345" s="8"/>
      <c r="AP345" s="8"/>
      <c r="AQ345" s="8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9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>
      <c r="A346" s="2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5"/>
      <c r="AD346" s="5"/>
      <c r="AE346" s="5"/>
      <c r="AF346" s="5"/>
      <c r="AG346" s="6"/>
      <c r="AH346" s="6"/>
      <c r="AI346" s="6"/>
      <c r="AJ346" s="7"/>
      <c r="AK346" s="7"/>
      <c r="AL346" s="6"/>
      <c r="AM346" s="6"/>
      <c r="AN346" s="8"/>
      <c r="AO346" s="8"/>
      <c r="AP346" s="8"/>
      <c r="AQ346" s="8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9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>
      <c r="A347" s="2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5"/>
      <c r="AD347" s="5"/>
      <c r="AE347" s="5"/>
      <c r="AF347" s="5"/>
      <c r="AG347" s="6"/>
      <c r="AH347" s="6"/>
      <c r="AI347" s="6"/>
      <c r="AJ347" s="7"/>
      <c r="AK347" s="7"/>
      <c r="AL347" s="6"/>
      <c r="AM347" s="6"/>
      <c r="AN347" s="8"/>
      <c r="AO347" s="8"/>
      <c r="AP347" s="8"/>
      <c r="AQ347" s="8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9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>
      <c r="A348" s="2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5"/>
      <c r="AD348" s="5"/>
      <c r="AE348" s="5"/>
      <c r="AF348" s="5"/>
      <c r="AG348" s="6"/>
      <c r="AH348" s="6"/>
      <c r="AI348" s="6"/>
      <c r="AJ348" s="7"/>
      <c r="AK348" s="7"/>
      <c r="AL348" s="6"/>
      <c r="AM348" s="6"/>
      <c r="AN348" s="8"/>
      <c r="AO348" s="8"/>
      <c r="AP348" s="8"/>
      <c r="AQ348" s="8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9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>
      <c r="A349" s="2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5"/>
      <c r="AD349" s="5"/>
      <c r="AE349" s="5"/>
      <c r="AF349" s="5"/>
      <c r="AG349" s="6"/>
      <c r="AH349" s="6"/>
      <c r="AI349" s="6"/>
      <c r="AJ349" s="7"/>
      <c r="AK349" s="7"/>
      <c r="AL349" s="6"/>
      <c r="AM349" s="6"/>
      <c r="AN349" s="8"/>
      <c r="AO349" s="8"/>
      <c r="AP349" s="8"/>
      <c r="AQ349" s="8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9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>
      <c r="A350" s="2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5"/>
      <c r="AD350" s="5"/>
      <c r="AE350" s="5"/>
      <c r="AF350" s="5"/>
      <c r="AG350" s="6"/>
      <c r="AH350" s="6"/>
      <c r="AI350" s="6"/>
      <c r="AJ350" s="7"/>
      <c r="AK350" s="7"/>
      <c r="AL350" s="6"/>
      <c r="AM350" s="6"/>
      <c r="AN350" s="8"/>
      <c r="AO350" s="8"/>
      <c r="AP350" s="8"/>
      <c r="AQ350" s="8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9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>
      <c r="A351" s="2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5"/>
      <c r="AD351" s="5"/>
      <c r="AE351" s="5"/>
      <c r="AF351" s="5"/>
      <c r="AG351" s="6"/>
      <c r="AH351" s="6"/>
      <c r="AI351" s="6"/>
      <c r="AJ351" s="7"/>
      <c r="AK351" s="7"/>
      <c r="AL351" s="6"/>
      <c r="AM351" s="6"/>
      <c r="AN351" s="8"/>
      <c r="AO351" s="8"/>
      <c r="AP351" s="8"/>
      <c r="AQ351" s="8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9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>
      <c r="A352" s="2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5"/>
      <c r="AD352" s="5"/>
      <c r="AE352" s="5"/>
      <c r="AF352" s="5"/>
      <c r="AG352" s="6"/>
      <c r="AH352" s="6"/>
      <c r="AI352" s="6"/>
      <c r="AJ352" s="7"/>
      <c r="AK352" s="7"/>
      <c r="AL352" s="6"/>
      <c r="AM352" s="6"/>
      <c r="AN352" s="8"/>
      <c r="AO352" s="8"/>
      <c r="AP352" s="8"/>
      <c r="AQ352" s="8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9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>
      <c r="A353" s="2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5"/>
      <c r="AD353" s="5"/>
      <c r="AE353" s="5"/>
      <c r="AF353" s="5"/>
      <c r="AG353" s="6"/>
      <c r="AH353" s="6"/>
      <c r="AI353" s="6"/>
      <c r="AJ353" s="7"/>
      <c r="AK353" s="7"/>
      <c r="AL353" s="6"/>
      <c r="AM353" s="6"/>
      <c r="AN353" s="8"/>
      <c r="AO353" s="8"/>
      <c r="AP353" s="8"/>
      <c r="AQ353" s="8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9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>
      <c r="A354" s="2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5"/>
      <c r="AD354" s="5"/>
      <c r="AE354" s="5"/>
      <c r="AF354" s="5"/>
      <c r="AG354" s="6"/>
      <c r="AH354" s="6"/>
      <c r="AI354" s="6"/>
      <c r="AJ354" s="7"/>
      <c r="AK354" s="7"/>
      <c r="AL354" s="6"/>
      <c r="AM354" s="6"/>
      <c r="AN354" s="8"/>
      <c r="AO354" s="8"/>
      <c r="AP354" s="8"/>
      <c r="AQ354" s="8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9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>
      <c r="A355" s="2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5"/>
      <c r="AD355" s="5"/>
      <c r="AE355" s="5"/>
      <c r="AF355" s="5"/>
      <c r="AG355" s="6"/>
      <c r="AH355" s="6"/>
      <c r="AI355" s="6"/>
      <c r="AJ355" s="7"/>
      <c r="AK355" s="7"/>
      <c r="AL355" s="6"/>
      <c r="AM355" s="6"/>
      <c r="AN355" s="8"/>
      <c r="AO355" s="8"/>
      <c r="AP355" s="8"/>
      <c r="AQ355" s="8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9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>
      <c r="A356" s="2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5"/>
      <c r="AD356" s="5"/>
      <c r="AE356" s="5"/>
      <c r="AF356" s="5"/>
      <c r="AG356" s="6"/>
      <c r="AH356" s="6"/>
      <c r="AI356" s="6"/>
      <c r="AJ356" s="7"/>
      <c r="AK356" s="7"/>
      <c r="AL356" s="6"/>
      <c r="AM356" s="6"/>
      <c r="AN356" s="8"/>
      <c r="AO356" s="8"/>
      <c r="AP356" s="8"/>
      <c r="AQ356" s="8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9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>
      <c r="A357" s="2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5"/>
      <c r="AD357" s="5"/>
      <c r="AE357" s="5"/>
      <c r="AF357" s="5"/>
      <c r="AG357" s="6"/>
      <c r="AH357" s="6"/>
      <c r="AI357" s="6"/>
      <c r="AJ357" s="7"/>
      <c r="AK357" s="7"/>
      <c r="AL357" s="6"/>
      <c r="AM357" s="6"/>
      <c r="AN357" s="8"/>
      <c r="AO357" s="8"/>
      <c r="AP357" s="8"/>
      <c r="AQ357" s="8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9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>
      <c r="A358" s="2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5"/>
      <c r="AD358" s="5"/>
      <c r="AE358" s="5"/>
      <c r="AF358" s="5"/>
      <c r="AG358" s="6"/>
      <c r="AH358" s="6"/>
      <c r="AI358" s="6"/>
      <c r="AJ358" s="7"/>
      <c r="AK358" s="7"/>
      <c r="AL358" s="6"/>
      <c r="AM358" s="6"/>
      <c r="AN358" s="8"/>
      <c r="AO358" s="8"/>
      <c r="AP358" s="8"/>
      <c r="AQ358" s="8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9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>
      <c r="A359" s="2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5"/>
      <c r="AD359" s="5"/>
      <c r="AE359" s="5"/>
      <c r="AF359" s="5"/>
      <c r="AG359" s="6"/>
      <c r="AH359" s="6"/>
      <c r="AI359" s="6"/>
      <c r="AJ359" s="7"/>
      <c r="AK359" s="7"/>
      <c r="AL359" s="6"/>
      <c r="AM359" s="6"/>
      <c r="AN359" s="8"/>
      <c r="AO359" s="8"/>
      <c r="AP359" s="8"/>
      <c r="AQ359" s="8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9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>
      <c r="A360" s="2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5"/>
      <c r="AD360" s="5"/>
      <c r="AE360" s="5"/>
      <c r="AF360" s="5"/>
      <c r="AG360" s="6"/>
      <c r="AH360" s="6"/>
      <c r="AI360" s="6"/>
      <c r="AJ360" s="7"/>
      <c r="AK360" s="7"/>
      <c r="AL360" s="6"/>
      <c r="AM360" s="6"/>
      <c r="AN360" s="8"/>
      <c r="AO360" s="8"/>
      <c r="AP360" s="8"/>
      <c r="AQ360" s="8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9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>
      <c r="A361" s="2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5"/>
      <c r="AD361" s="5"/>
      <c r="AE361" s="5"/>
      <c r="AF361" s="5"/>
      <c r="AG361" s="6"/>
      <c r="AH361" s="6"/>
      <c r="AI361" s="6"/>
      <c r="AJ361" s="7"/>
      <c r="AK361" s="7"/>
      <c r="AL361" s="6"/>
      <c r="AM361" s="6"/>
      <c r="AN361" s="8"/>
      <c r="AO361" s="8"/>
      <c r="AP361" s="8"/>
      <c r="AQ361" s="8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9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>
      <c r="A362" s="2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5"/>
      <c r="AD362" s="5"/>
      <c r="AE362" s="5"/>
      <c r="AF362" s="5"/>
      <c r="AG362" s="6"/>
      <c r="AH362" s="6"/>
      <c r="AI362" s="6"/>
      <c r="AJ362" s="7"/>
      <c r="AK362" s="7"/>
      <c r="AL362" s="6"/>
      <c r="AM362" s="6"/>
      <c r="AN362" s="8"/>
      <c r="AO362" s="8"/>
      <c r="AP362" s="8"/>
      <c r="AQ362" s="8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9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>
      <c r="A363" s="2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5"/>
      <c r="AD363" s="5"/>
      <c r="AE363" s="5"/>
      <c r="AF363" s="5"/>
      <c r="AG363" s="6"/>
      <c r="AH363" s="6"/>
      <c r="AI363" s="6"/>
      <c r="AJ363" s="7"/>
      <c r="AK363" s="7"/>
      <c r="AL363" s="6"/>
      <c r="AM363" s="6"/>
      <c r="AN363" s="8"/>
      <c r="AO363" s="8"/>
      <c r="AP363" s="8"/>
      <c r="AQ363" s="8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9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>
      <c r="A364" s="2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5"/>
      <c r="AD364" s="5"/>
      <c r="AE364" s="5"/>
      <c r="AF364" s="5"/>
      <c r="AG364" s="6"/>
      <c r="AH364" s="6"/>
      <c r="AI364" s="6"/>
      <c r="AJ364" s="7"/>
      <c r="AK364" s="7"/>
      <c r="AL364" s="6"/>
      <c r="AM364" s="6"/>
      <c r="AN364" s="8"/>
      <c r="AO364" s="8"/>
      <c r="AP364" s="8"/>
      <c r="AQ364" s="8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9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>
      <c r="A365" s="2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5"/>
      <c r="AD365" s="5"/>
      <c r="AE365" s="5"/>
      <c r="AF365" s="5"/>
      <c r="AG365" s="6"/>
      <c r="AH365" s="6"/>
      <c r="AI365" s="6"/>
      <c r="AJ365" s="7"/>
      <c r="AK365" s="7"/>
      <c r="AL365" s="6"/>
      <c r="AM365" s="6"/>
      <c r="AN365" s="8"/>
      <c r="AO365" s="8"/>
      <c r="AP365" s="8"/>
      <c r="AQ365" s="8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9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>
      <c r="A366" s="2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5"/>
      <c r="AD366" s="5"/>
      <c r="AE366" s="5"/>
      <c r="AF366" s="5"/>
      <c r="AG366" s="6"/>
      <c r="AH366" s="6"/>
      <c r="AI366" s="6"/>
      <c r="AJ366" s="7"/>
      <c r="AK366" s="7"/>
      <c r="AL366" s="6"/>
      <c r="AM366" s="6"/>
      <c r="AN366" s="8"/>
      <c r="AO366" s="8"/>
      <c r="AP366" s="8"/>
      <c r="AQ366" s="8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9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>
      <c r="A367" s="2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5"/>
      <c r="AD367" s="5"/>
      <c r="AE367" s="5"/>
      <c r="AF367" s="5"/>
      <c r="AG367" s="6"/>
      <c r="AH367" s="6"/>
      <c r="AI367" s="6"/>
      <c r="AJ367" s="7"/>
      <c r="AK367" s="7"/>
      <c r="AL367" s="6"/>
      <c r="AM367" s="6"/>
      <c r="AN367" s="8"/>
      <c r="AO367" s="8"/>
      <c r="AP367" s="8"/>
      <c r="AQ367" s="8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9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>
      <c r="A368" s="2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5"/>
      <c r="AD368" s="5"/>
      <c r="AE368" s="5"/>
      <c r="AF368" s="5"/>
      <c r="AG368" s="6"/>
      <c r="AH368" s="6"/>
      <c r="AI368" s="6"/>
      <c r="AJ368" s="7"/>
      <c r="AK368" s="7"/>
      <c r="AL368" s="6"/>
      <c r="AM368" s="6"/>
      <c r="AN368" s="8"/>
      <c r="AO368" s="8"/>
      <c r="AP368" s="8"/>
      <c r="AQ368" s="8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9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>
      <c r="A369" s="2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5"/>
      <c r="AD369" s="5"/>
      <c r="AE369" s="5"/>
      <c r="AF369" s="5"/>
      <c r="AG369" s="6"/>
      <c r="AH369" s="6"/>
      <c r="AI369" s="6"/>
      <c r="AJ369" s="7"/>
      <c r="AK369" s="7"/>
      <c r="AL369" s="6"/>
      <c r="AM369" s="6"/>
      <c r="AN369" s="8"/>
      <c r="AO369" s="8"/>
      <c r="AP369" s="8"/>
      <c r="AQ369" s="8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9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>
      <c r="A370" s="2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5"/>
      <c r="AD370" s="5"/>
      <c r="AE370" s="5"/>
      <c r="AF370" s="5"/>
      <c r="AG370" s="6"/>
      <c r="AH370" s="6"/>
      <c r="AI370" s="6"/>
      <c r="AJ370" s="7"/>
      <c r="AK370" s="7"/>
      <c r="AL370" s="6"/>
      <c r="AM370" s="6"/>
      <c r="AN370" s="8"/>
      <c r="AO370" s="8"/>
      <c r="AP370" s="8"/>
      <c r="AQ370" s="8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9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>
      <c r="A371" s="2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5"/>
      <c r="AD371" s="5"/>
      <c r="AE371" s="5"/>
      <c r="AF371" s="5"/>
      <c r="AG371" s="6"/>
      <c r="AH371" s="6"/>
      <c r="AI371" s="6"/>
      <c r="AJ371" s="7"/>
      <c r="AK371" s="7"/>
      <c r="AL371" s="6"/>
      <c r="AM371" s="6"/>
      <c r="AN371" s="8"/>
      <c r="AO371" s="8"/>
      <c r="AP371" s="8"/>
      <c r="AQ371" s="8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9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>
      <c r="A372" s="2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5"/>
      <c r="AD372" s="5"/>
      <c r="AE372" s="5"/>
      <c r="AF372" s="5"/>
      <c r="AG372" s="6"/>
      <c r="AH372" s="6"/>
      <c r="AI372" s="6"/>
      <c r="AJ372" s="7"/>
      <c r="AK372" s="7"/>
      <c r="AL372" s="6"/>
      <c r="AM372" s="6"/>
      <c r="AN372" s="8"/>
      <c r="AO372" s="8"/>
      <c r="AP372" s="8"/>
      <c r="AQ372" s="8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9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>
      <c r="A373" s="2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5"/>
      <c r="AD373" s="5"/>
      <c r="AE373" s="5"/>
      <c r="AF373" s="5"/>
      <c r="AG373" s="6"/>
      <c r="AH373" s="6"/>
      <c r="AI373" s="6"/>
      <c r="AJ373" s="7"/>
      <c r="AK373" s="7"/>
      <c r="AL373" s="6"/>
      <c r="AM373" s="6"/>
      <c r="AN373" s="8"/>
      <c r="AO373" s="8"/>
      <c r="AP373" s="8"/>
      <c r="AQ373" s="8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9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>
      <c r="A374" s="2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5"/>
      <c r="AD374" s="5"/>
      <c r="AE374" s="5"/>
      <c r="AF374" s="5"/>
      <c r="AG374" s="6"/>
      <c r="AH374" s="6"/>
      <c r="AI374" s="6"/>
      <c r="AJ374" s="7"/>
      <c r="AK374" s="7"/>
      <c r="AL374" s="6"/>
      <c r="AM374" s="6"/>
      <c r="AN374" s="8"/>
      <c r="AO374" s="8"/>
      <c r="AP374" s="8"/>
      <c r="AQ374" s="8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9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>
      <c r="A375" s="2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5"/>
      <c r="AD375" s="5"/>
      <c r="AE375" s="5"/>
      <c r="AF375" s="5"/>
      <c r="AG375" s="6"/>
      <c r="AH375" s="6"/>
      <c r="AI375" s="6"/>
      <c r="AJ375" s="7"/>
      <c r="AK375" s="7"/>
      <c r="AL375" s="6"/>
      <c r="AM375" s="6"/>
      <c r="AN375" s="8"/>
      <c r="AO375" s="8"/>
      <c r="AP375" s="8"/>
      <c r="AQ375" s="8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9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>
      <c r="A376" s="2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5"/>
      <c r="AD376" s="5"/>
      <c r="AE376" s="5"/>
      <c r="AF376" s="5"/>
      <c r="AG376" s="6"/>
      <c r="AH376" s="6"/>
      <c r="AI376" s="6"/>
      <c r="AJ376" s="7"/>
      <c r="AK376" s="7"/>
      <c r="AL376" s="6"/>
      <c r="AM376" s="6"/>
      <c r="AN376" s="8"/>
      <c r="AO376" s="8"/>
      <c r="AP376" s="8"/>
      <c r="AQ376" s="8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9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>
      <c r="A377" s="2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5"/>
      <c r="AD377" s="5"/>
      <c r="AE377" s="5"/>
      <c r="AF377" s="5"/>
      <c r="AG377" s="6"/>
      <c r="AH377" s="6"/>
      <c r="AI377" s="6"/>
      <c r="AJ377" s="7"/>
      <c r="AK377" s="7"/>
      <c r="AL377" s="6"/>
      <c r="AM377" s="6"/>
      <c r="AN377" s="8"/>
      <c r="AO377" s="8"/>
      <c r="AP377" s="8"/>
      <c r="AQ377" s="8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9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>
      <c r="A378" s="2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5"/>
      <c r="AD378" s="5"/>
      <c r="AE378" s="5"/>
      <c r="AF378" s="5"/>
      <c r="AG378" s="6"/>
      <c r="AH378" s="6"/>
      <c r="AI378" s="6"/>
      <c r="AJ378" s="7"/>
      <c r="AK378" s="7"/>
      <c r="AL378" s="6"/>
      <c r="AM378" s="6"/>
      <c r="AN378" s="8"/>
      <c r="AO378" s="8"/>
      <c r="AP378" s="8"/>
      <c r="AQ378" s="8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9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>
      <c r="A379" s="2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5"/>
      <c r="AD379" s="5"/>
      <c r="AE379" s="5"/>
      <c r="AF379" s="5"/>
      <c r="AG379" s="6"/>
      <c r="AH379" s="6"/>
      <c r="AI379" s="6"/>
      <c r="AJ379" s="7"/>
      <c r="AK379" s="7"/>
      <c r="AL379" s="6"/>
      <c r="AM379" s="6"/>
      <c r="AN379" s="8"/>
      <c r="AO379" s="8"/>
      <c r="AP379" s="8"/>
      <c r="AQ379" s="8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9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>
      <c r="A380" s="2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5"/>
      <c r="AD380" s="5"/>
      <c r="AE380" s="5"/>
      <c r="AF380" s="5"/>
      <c r="AG380" s="6"/>
      <c r="AH380" s="6"/>
      <c r="AI380" s="6"/>
      <c r="AJ380" s="7"/>
      <c r="AK380" s="7"/>
      <c r="AL380" s="6"/>
      <c r="AM380" s="6"/>
      <c r="AN380" s="8"/>
      <c r="AO380" s="8"/>
      <c r="AP380" s="8"/>
      <c r="AQ380" s="8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9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>
      <c r="A381" s="2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5"/>
      <c r="AD381" s="5"/>
      <c r="AE381" s="5"/>
      <c r="AF381" s="5"/>
      <c r="AG381" s="6"/>
      <c r="AH381" s="6"/>
      <c r="AI381" s="6"/>
      <c r="AJ381" s="7"/>
      <c r="AK381" s="7"/>
      <c r="AL381" s="6"/>
      <c r="AM381" s="6"/>
      <c r="AN381" s="8"/>
      <c r="AO381" s="8"/>
      <c r="AP381" s="8"/>
      <c r="AQ381" s="8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9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>
      <c r="A382" s="2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5"/>
      <c r="AD382" s="5"/>
      <c r="AE382" s="5"/>
      <c r="AF382" s="5"/>
      <c r="AG382" s="6"/>
      <c r="AH382" s="6"/>
      <c r="AI382" s="6"/>
      <c r="AJ382" s="7"/>
      <c r="AK382" s="7"/>
      <c r="AL382" s="6"/>
      <c r="AM382" s="6"/>
      <c r="AN382" s="8"/>
      <c r="AO382" s="8"/>
      <c r="AP382" s="8"/>
      <c r="AQ382" s="8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9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>
      <c r="A383" s="2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5"/>
      <c r="AD383" s="5"/>
      <c r="AE383" s="5"/>
      <c r="AF383" s="5"/>
      <c r="AG383" s="6"/>
      <c r="AH383" s="6"/>
      <c r="AI383" s="6"/>
      <c r="AJ383" s="7"/>
      <c r="AK383" s="7"/>
      <c r="AL383" s="6"/>
      <c r="AM383" s="6"/>
      <c r="AN383" s="8"/>
      <c r="AO383" s="8"/>
      <c r="AP383" s="8"/>
      <c r="AQ383" s="8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9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>
      <c r="A384" s="2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5"/>
      <c r="AD384" s="5"/>
      <c r="AE384" s="5"/>
      <c r="AF384" s="5"/>
      <c r="AG384" s="6"/>
      <c r="AH384" s="6"/>
      <c r="AI384" s="6"/>
      <c r="AJ384" s="7"/>
      <c r="AK384" s="7"/>
      <c r="AL384" s="6"/>
      <c r="AM384" s="6"/>
      <c r="AN384" s="8"/>
      <c r="AO384" s="8"/>
      <c r="AP384" s="8"/>
      <c r="AQ384" s="8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9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>
      <c r="A385" s="2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5"/>
      <c r="AD385" s="5"/>
      <c r="AE385" s="5"/>
      <c r="AF385" s="5"/>
      <c r="AG385" s="6"/>
      <c r="AH385" s="6"/>
      <c r="AI385" s="6"/>
      <c r="AJ385" s="7"/>
      <c r="AK385" s="7"/>
      <c r="AL385" s="6"/>
      <c r="AM385" s="6"/>
      <c r="AN385" s="8"/>
      <c r="AO385" s="8"/>
      <c r="AP385" s="8"/>
      <c r="AQ385" s="8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9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>
      <c r="A386" s="2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5"/>
      <c r="AD386" s="5"/>
      <c r="AE386" s="5"/>
      <c r="AF386" s="5"/>
      <c r="AG386" s="6"/>
      <c r="AH386" s="6"/>
      <c r="AI386" s="6"/>
      <c r="AJ386" s="7"/>
      <c r="AK386" s="7"/>
      <c r="AL386" s="6"/>
      <c r="AM386" s="6"/>
      <c r="AN386" s="8"/>
      <c r="AO386" s="8"/>
      <c r="AP386" s="8"/>
      <c r="AQ386" s="8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9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>
      <c r="A387" s="2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5"/>
      <c r="AD387" s="5"/>
      <c r="AE387" s="5"/>
      <c r="AF387" s="5"/>
      <c r="AG387" s="6"/>
      <c r="AH387" s="6"/>
      <c r="AI387" s="6"/>
      <c r="AJ387" s="7"/>
      <c r="AK387" s="7"/>
      <c r="AL387" s="6"/>
      <c r="AM387" s="6"/>
      <c r="AN387" s="8"/>
      <c r="AO387" s="8"/>
      <c r="AP387" s="8"/>
      <c r="AQ387" s="8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9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>
      <c r="A388" s="2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5"/>
      <c r="AD388" s="5"/>
      <c r="AE388" s="5"/>
      <c r="AF388" s="5"/>
      <c r="AG388" s="6"/>
      <c r="AH388" s="6"/>
      <c r="AI388" s="6"/>
      <c r="AJ388" s="7"/>
      <c r="AK388" s="7"/>
      <c r="AL388" s="6"/>
      <c r="AM388" s="6"/>
      <c r="AN388" s="8"/>
      <c r="AO388" s="8"/>
      <c r="AP388" s="8"/>
      <c r="AQ388" s="8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9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>
      <c r="A389" s="2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5"/>
      <c r="AD389" s="5"/>
      <c r="AE389" s="5"/>
      <c r="AF389" s="5"/>
      <c r="AG389" s="6"/>
      <c r="AH389" s="6"/>
      <c r="AI389" s="6"/>
      <c r="AJ389" s="7"/>
      <c r="AK389" s="7"/>
      <c r="AL389" s="6"/>
      <c r="AM389" s="6"/>
      <c r="AN389" s="8"/>
      <c r="AO389" s="8"/>
      <c r="AP389" s="8"/>
      <c r="AQ389" s="8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9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>
      <c r="A390" s="2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5"/>
      <c r="AD390" s="5"/>
      <c r="AE390" s="5"/>
      <c r="AF390" s="5"/>
      <c r="AG390" s="6"/>
      <c r="AH390" s="6"/>
      <c r="AI390" s="6"/>
      <c r="AJ390" s="7"/>
      <c r="AK390" s="7"/>
      <c r="AL390" s="6"/>
      <c r="AM390" s="6"/>
      <c r="AN390" s="8"/>
      <c r="AO390" s="8"/>
      <c r="AP390" s="8"/>
      <c r="AQ390" s="8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9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>
      <c r="A391" s="2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5"/>
      <c r="AD391" s="5"/>
      <c r="AE391" s="5"/>
      <c r="AF391" s="5"/>
      <c r="AG391" s="6"/>
      <c r="AH391" s="6"/>
      <c r="AI391" s="6"/>
      <c r="AJ391" s="7"/>
      <c r="AK391" s="7"/>
      <c r="AL391" s="6"/>
      <c r="AM391" s="6"/>
      <c r="AN391" s="8"/>
      <c r="AO391" s="8"/>
      <c r="AP391" s="8"/>
      <c r="AQ391" s="8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9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>
      <c r="A392" s="2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5"/>
      <c r="AD392" s="5"/>
      <c r="AE392" s="5"/>
      <c r="AF392" s="5"/>
      <c r="AG392" s="6"/>
      <c r="AH392" s="6"/>
      <c r="AI392" s="6"/>
      <c r="AJ392" s="7"/>
      <c r="AK392" s="7"/>
      <c r="AL392" s="6"/>
      <c r="AM392" s="6"/>
      <c r="AN392" s="8"/>
      <c r="AO392" s="8"/>
      <c r="AP392" s="8"/>
      <c r="AQ392" s="8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9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>
      <c r="A393" s="2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5"/>
      <c r="AD393" s="5"/>
      <c r="AE393" s="5"/>
      <c r="AF393" s="5"/>
      <c r="AG393" s="6"/>
      <c r="AH393" s="6"/>
      <c r="AI393" s="6"/>
      <c r="AJ393" s="7"/>
      <c r="AK393" s="7"/>
      <c r="AL393" s="6"/>
      <c r="AM393" s="6"/>
      <c r="AN393" s="8"/>
      <c r="AO393" s="8"/>
      <c r="AP393" s="8"/>
      <c r="AQ393" s="8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9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>
      <c r="A394" s="2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5"/>
      <c r="AD394" s="5"/>
      <c r="AE394" s="5"/>
      <c r="AF394" s="5"/>
      <c r="AG394" s="6"/>
      <c r="AH394" s="6"/>
      <c r="AI394" s="6"/>
      <c r="AJ394" s="7"/>
      <c r="AK394" s="7"/>
      <c r="AL394" s="6"/>
      <c r="AM394" s="6"/>
      <c r="AN394" s="8"/>
      <c r="AO394" s="8"/>
      <c r="AP394" s="8"/>
      <c r="AQ394" s="8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9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>
      <c r="A395" s="2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5"/>
      <c r="AD395" s="5"/>
      <c r="AE395" s="5"/>
      <c r="AF395" s="5"/>
      <c r="AG395" s="6"/>
      <c r="AH395" s="6"/>
      <c r="AI395" s="6"/>
      <c r="AJ395" s="7"/>
      <c r="AK395" s="7"/>
      <c r="AL395" s="6"/>
      <c r="AM395" s="6"/>
      <c r="AN395" s="8"/>
      <c r="AO395" s="8"/>
      <c r="AP395" s="8"/>
      <c r="AQ395" s="8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9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>
      <c r="A396" s="2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5"/>
      <c r="AD396" s="5"/>
      <c r="AE396" s="5"/>
      <c r="AF396" s="5"/>
      <c r="AG396" s="6"/>
      <c r="AH396" s="6"/>
      <c r="AI396" s="6"/>
      <c r="AJ396" s="7"/>
      <c r="AK396" s="7"/>
      <c r="AL396" s="6"/>
      <c r="AM396" s="6"/>
      <c r="AN396" s="8"/>
      <c r="AO396" s="8"/>
      <c r="AP396" s="8"/>
      <c r="AQ396" s="8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9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>
      <c r="A397" s="2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5"/>
      <c r="AD397" s="5"/>
      <c r="AE397" s="5"/>
      <c r="AF397" s="5"/>
      <c r="AG397" s="6"/>
      <c r="AH397" s="6"/>
      <c r="AI397" s="6"/>
      <c r="AJ397" s="7"/>
      <c r="AK397" s="7"/>
      <c r="AL397" s="6"/>
      <c r="AM397" s="6"/>
      <c r="AN397" s="8"/>
      <c r="AO397" s="8"/>
      <c r="AP397" s="8"/>
      <c r="AQ397" s="8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9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>
      <c r="A398" s="2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5"/>
      <c r="AD398" s="5"/>
      <c r="AE398" s="5"/>
      <c r="AF398" s="5"/>
      <c r="AG398" s="6"/>
      <c r="AH398" s="6"/>
      <c r="AI398" s="6"/>
      <c r="AJ398" s="7"/>
      <c r="AK398" s="7"/>
      <c r="AL398" s="6"/>
      <c r="AM398" s="6"/>
      <c r="AN398" s="8"/>
      <c r="AO398" s="8"/>
      <c r="AP398" s="8"/>
      <c r="AQ398" s="8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9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>
      <c r="A399" s="2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5"/>
      <c r="AD399" s="5"/>
      <c r="AE399" s="5"/>
      <c r="AF399" s="5"/>
      <c r="AG399" s="6"/>
      <c r="AH399" s="6"/>
      <c r="AI399" s="6"/>
      <c r="AJ399" s="7"/>
      <c r="AK399" s="7"/>
      <c r="AL399" s="6"/>
      <c r="AM399" s="6"/>
      <c r="AN399" s="8"/>
      <c r="AO399" s="8"/>
      <c r="AP399" s="8"/>
      <c r="AQ399" s="8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9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>
      <c r="A400" s="2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5"/>
      <c r="AD400" s="5"/>
      <c r="AE400" s="5"/>
      <c r="AF400" s="5"/>
      <c r="AG400" s="6"/>
      <c r="AH400" s="6"/>
      <c r="AI400" s="6"/>
      <c r="AJ400" s="7"/>
      <c r="AK400" s="7"/>
      <c r="AL400" s="6"/>
      <c r="AM400" s="6"/>
      <c r="AN400" s="8"/>
      <c r="AO400" s="8"/>
      <c r="AP400" s="8"/>
      <c r="AQ400" s="8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9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>
      <c r="A401" s="2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5"/>
      <c r="AD401" s="5"/>
      <c r="AE401" s="5"/>
      <c r="AF401" s="5"/>
      <c r="AG401" s="6"/>
      <c r="AH401" s="6"/>
      <c r="AI401" s="6"/>
      <c r="AJ401" s="7"/>
      <c r="AK401" s="7"/>
      <c r="AL401" s="6"/>
      <c r="AM401" s="6"/>
      <c r="AN401" s="8"/>
      <c r="AO401" s="8"/>
      <c r="AP401" s="8"/>
      <c r="AQ401" s="8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9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>
      <c r="A402" s="2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5"/>
      <c r="AD402" s="5"/>
      <c r="AE402" s="5"/>
      <c r="AF402" s="5"/>
      <c r="AG402" s="6"/>
      <c r="AH402" s="6"/>
      <c r="AI402" s="6"/>
      <c r="AJ402" s="7"/>
      <c r="AK402" s="7"/>
      <c r="AL402" s="6"/>
      <c r="AM402" s="6"/>
      <c r="AN402" s="8"/>
      <c r="AO402" s="8"/>
      <c r="AP402" s="8"/>
      <c r="AQ402" s="8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9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>
      <c r="A403" s="2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5"/>
      <c r="AD403" s="5"/>
      <c r="AE403" s="5"/>
      <c r="AF403" s="5"/>
      <c r="AG403" s="6"/>
      <c r="AH403" s="6"/>
      <c r="AI403" s="6"/>
      <c r="AJ403" s="7"/>
      <c r="AK403" s="7"/>
      <c r="AL403" s="6"/>
      <c r="AM403" s="6"/>
      <c r="AN403" s="8"/>
      <c r="AO403" s="8"/>
      <c r="AP403" s="8"/>
      <c r="AQ403" s="8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9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>
      <c r="A404" s="2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5"/>
      <c r="AD404" s="5"/>
      <c r="AE404" s="5"/>
      <c r="AF404" s="5"/>
      <c r="AG404" s="6"/>
      <c r="AH404" s="6"/>
      <c r="AI404" s="6"/>
      <c r="AJ404" s="7"/>
      <c r="AK404" s="7"/>
      <c r="AL404" s="6"/>
      <c r="AM404" s="6"/>
      <c r="AN404" s="8"/>
      <c r="AO404" s="8"/>
      <c r="AP404" s="8"/>
      <c r="AQ404" s="8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9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>
      <c r="A405" s="2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5"/>
      <c r="AD405" s="5"/>
      <c r="AE405" s="5"/>
      <c r="AF405" s="5"/>
      <c r="AG405" s="6"/>
      <c r="AH405" s="6"/>
      <c r="AI405" s="6"/>
      <c r="AJ405" s="7"/>
      <c r="AK405" s="7"/>
      <c r="AL405" s="6"/>
      <c r="AM405" s="6"/>
      <c r="AN405" s="8"/>
      <c r="AO405" s="8"/>
      <c r="AP405" s="8"/>
      <c r="AQ405" s="8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9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>
      <c r="A406" s="2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5"/>
      <c r="AD406" s="5"/>
      <c r="AE406" s="5"/>
      <c r="AF406" s="5"/>
      <c r="AG406" s="6"/>
      <c r="AH406" s="6"/>
      <c r="AI406" s="6"/>
      <c r="AJ406" s="7"/>
      <c r="AK406" s="7"/>
      <c r="AL406" s="6"/>
      <c r="AM406" s="6"/>
      <c r="AN406" s="8"/>
      <c r="AO406" s="8"/>
      <c r="AP406" s="8"/>
      <c r="AQ406" s="8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9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>
      <c r="A407" s="2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5"/>
      <c r="AD407" s="5"/>
      <c r="AE407" s="5"/>
      <c r="AF407" s="5"/>
      <c r="AG407" s="6"/>
      <c r="AH407" s="6"/>
      <c r="AI407" s="6"/>
      <c r="AJ407" s="7"/>
      <c r="AK407" s="7"/>
      <c r="AL407" s="6"/>
      <c r="AM407" s="6"/>
      <c r="AN407" s="8"/>
      <c r="AO407" s="8"/>
      <c r="AP407" s="8"/>
      <c r="AQ407" s="8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9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>
      <c r="A408" s="2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5"/>
      <c r="AD408" s="5"/>
      <c r="AE408" s="5"/>
      <c r="AF408" s="5"/>
      <c r="AG408" s="6"/>
      <c r="AH408" s="6"/>
      <c r="AI408" s="6"/>
      <c r="AJ408" s="7"/>
      <c r="AK408" s="7"/>
      <c r="AL408" s="6"/>
      <c r="AM408" s="6"/>
      <c r="AN408" s="8"/>
      <c r="AO408" s="8"/>
      <c r="AP408" s="8"/>
      <c r="AQ408" s="8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9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>
      <c r="A409" s="2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5"/>
      <c r="AD409" s="5"/>
      <c r="AE409" s="5"/>
      <c r="AF409" s="5"/>
      <c r="AG409" s="6"/>
      <c r="AH409" s="6"/>
      <c r="AI409" s="6"/>
      <c r="AJ409" s="7"/>
      <c r="AK409" s="7"/>
      <c r="AL409" s="6"/>
      <c r="AM409" s="6"/>
      <c r="AN409" s="8"/>
      <c r="AO409" s="8"/>
      <c r="AP409" s="8"/>
      <c r="AQ409" s="8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9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>
      <c r="A410" s="2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5"/>
      <c r="AD410" s="5"/>
      <c r="AE410" s="5"/>
      <c r="AF410" s="5"/>
      <c r="AG410" s="6"/>
      <c r="AH410" s="6"/>
      <c r="AI410" s="6"/>
      <c r="AJ410" s="7"/>
      <c r="AK410" s="7"/>
      <c r="AL410" s="6"/>
      <c r="AM410" s="6"/>
      <c r="AN410" s="8"/>
      <c r="AO410" s="8"/>
      <c r="AP410" s="8"/>
      <c r="AQ410" s="8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9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>
      <c r="A411" s="2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5"/>
      <c r="AD411" s="5"/>
      <c r="AE411" s="5"/>
      <c r="AF411" s="5"/>
      <c r="AG411" s="6"/>
      <c r="AH411" s="6"/>
      <c r="AI411" s="6"/>
      <c r="AJ411" s="7"/>
      <c r="AK411" s="7"/>
      <c r="AL411" s="6"/>
      <c r="AM411" s="6"/>
      <c r="AN411" s="8"/>
      <c r="AO411" s="8"/>
      <c r="AP411" s="8"/>
      <c r="AQ411" s="8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9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>
      <c r="A412" s="2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5"/>
      <c r="AD412" s="5"/>
      <c r="AE412" s="5"/>
      <c r="AF412" s="5"/>
      <c r="AG412" s="6"/>
      <c r="AH412" s="6"/>
      <c r="AI412" s="6"/>
      <c r="AJ412" s="7"/>
      <c r="AK412" s="7"/>
      <c r="AL412" s="6"/>
      <c r="AM412" s="6"/>
      <c r="AN412" s="8"/>
      <c r="AO412" s="8"/>
      <c r="AP412" s="8"/>
      <c r="AQ412" s="8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9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>
      <c r="A413" s="2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5"/>
      <c r="AD413" s="5"/>
      <c r="AE413" s="5"/>
      <c r="AF413" s="5"/>
      <c r="AG413" s="6"/>
      <c r="AH413" s="6"/>
      <c r="AI413" s="6"/>
      <c r="AJ413" s="7"/>
      <c r="AK413" s="7"/>
      <c r="AL413" s="6"/>
      <c r="AM413" s="6"/>
      <c r="AN413" s="8"/>
      <c r="AO413" s="8"/>
      <c r="AP413" s="8"/>
      <c r="AQ413" s="8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9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>
      <c r="A414" s="2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5"/>
      <c r="AD414" s="5"/>
      <c r="AE414" s="5"/>
      <c r="AF414" s="5"/>
      <c r="AG414" s="6"/>
      <c r="AH414" s="6"/>
      <c r="AI414" s="6"/>
      <c r="AJ414" s="7"/>
      <c r="AK414" s="7"/>
      <c r="AL414" s="6"/>
      <c r="AM414" s="6"/>
      <c r="AN414" s="8"/>
      <c r="AO414" s="8"/>
      <c r="AP414" s="8"/>
      <c r="AQ414" s="8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9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>
      <c r="A415" s="2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5"/>
      <c r="AD415" s="5"/>
      <c r="AE415" s="5"/>
      <c r="AF415" s="5"/>
      <c r="AG415" s="6"/>
      <c r="AH415" s="6"/>
      <c r="AI415" s="6"/>
      <c r="AJ415" s="7"/>
      <c r="AK415" s="7"/>
      <c r="AL415" s="6"/>
      <c r="AM415" s="6"/>
      <c r="AN415" s="8"/>
      <c r="AO415" s="8"/>
      <c r="AP415" s="8"/>
      <c r="AQ415" s="8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9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>
      <c r="A416" s="2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5"/>
      <c r="AD416" s="5"/>
      <c r="AE416" s="5"/>
      <c r="AF416" s="5"/>
      <c r="AG416" s="6"/>
      <c r="AH416" s="6"/>
      <c r="AI416" s="6"/>
      <c r="AJ416" s="7"/>
      <c r="AK416" s="7"/>
      <c r="AL416" s="6"/>
      <c r="AM416" s="6"/>
      <c r="AN416" s="8"/>
      <c r="AO416" s="8"/>
      <c r="AP416" s="8"/>
      <c r="AQ416" s="8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9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>
      <c r="A417" s="2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5"/>
      <c r="AD417" s="5"/>
      <c r="AE417" s="5"/>
      <c r="AF417" s="5"/>
      <c r="AG417" s="6"/>
      <c r="AH417" s="6"/>
      <c r="AI417" s="6"/>
      <c r="AJ417" s="7"/>
      <c r="AK417" s="7"/>
      <c r="AL417" s="6"/>
      <c r="AM417" s="6"/>
      <c r="AN417" s="8"/>
      <c r="AO417" s="8"/>
      <c r="AP417" s="8"/>
      <c r="AQ417" s="8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9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>
      <c r="A418" s="2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5"/>
      <c r="AD418" s="5"/>
      <c r="AE418" s="5"/>
      <c r="AF418" s="5"/>
      <c r="AG418" s="6"/>
      <c r="AH418" s="6"/>
      <c r="AI418" s="6"/>
      <c r="AJ418" s="7"/>
      <c r="AK418" s="7"/>
      <c r="AL418" s="6"/>
      <c r="AM418" s="6"/>
      <c r="AN418" s="8"/>
      <c r="AO418" s="8"/>
      <c r="AP418" s="8"/>
      <c r="AQ418" s="8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9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>
      <c r="A419" s="2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5"/>
      <c r="AD419" s="5"/>
      <c r="AE419" s="5"/>
      <c r="AF419" s="5"/>
      <c r="AG419" s="6"/>
      <c r="AH419" s="6"/>
      <c r="AI419" s="6"/>
      <c r="AJ419" s="7"/>
      <c r="AK419" s="7"/>
      <c r="AL419" s="6"/>
      <c r="AM419" s="6"/>
      <c r="AN419" s="8"/>
      <c r="AO419" s="8"/>
      <c r="AP419" s="8"/>
      <c r="AQ419" s="8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9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>
      <c r="A420" s="2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5"/>
      <c r="AD420" s="5"/>
      <c r="AE420" s="5"/>
      <c r="AF420" s="5"/>
      <c r="AG420" s="6"/>
      <c r="AH420" s="6"/>
      <c r="AI420" s="6"/>
      <c r="AJ420" s="7"/>
      <c r="AK420" s="7"/>
      <c r="AL420" s="6"/>
      <c r="AM420" s="6"/>
      <c r="AN420" s="8"/>
      <c r="AO420" s="8"/>
      <c r="AP420" s="8"/>
      <c r="AQ420" s="8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9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>
      <c r="A421" s="2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5"/>
      <c r="AD421" s="5"/>
      <c r="AE421" s="5"/>
      <c r="AF421" s="5"/>
      <c r="AG421" s="6"/>
      <c r="AH421" s="6"/>
      <c r="AI421" s="6"/>
      <c r="AJ421" s="7"/>
      <c r="AK421" s="7"/>
      <c r="AL421" s="6"/>
      <c r="AM421" s="6"/>
      <c r="AN421" s="8"/>
      <c r="AO421" s="8"/>
      <c r="AP421" s="8"/>
      <c r="AQ421" s="8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9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>
      <c r="A422" s="2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5"/>
      <c r="AD422" s="5"/>
      <c r="AE422" s="5"/>
      <c r="AF422" s="5"/>
      <c r="AG422" s="6"/>
      <c r="AH422" s="6"/>
      <c r="AI422" s="6"/>
      <c r="AJ422" s="7"/>
      <c r="AK422" s="7"/>
      <c r="AL422" s="6"/>
      <c r="AM422" s="6"/>
      <c r="AN422" s="8"/>
      <c r="AO422" s="8"/>
      <c r="AP422" s="8"/>
      <c r="AQ422" s="8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9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>
      <c r="A423" s="2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5"/>
      <c r="AD423" s="5"/>
      <c r="AE423" s="5"/>
      <c r="AF423" s="5"/>
      <c r="AG423" s="6"/>
      <c r="AH423" s="6"/>
      <c r="AI423" s="6"/>
      <c r="AJ423" s="7"/>
      <c r="AK423" s="7"/>
      <c r="AL423" s="6"/>
      <c r="AM423" s="6"/>
      <c r="AN423" s="8"/>
      <c r="AO423" s="8"/>
      <c r="AP423" s="8"/>
      <c r="AQ423" s="8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9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>
      <c r="A424" s="2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5"/>
      <c r="AD424" s="5"/>
      <c r="AE424" s="5"/>
      <c r="AF424" s="5"/>
      <c r="AG424" s="6"/>
      <c r="AH424" s="6"/>
      <c r="AI424" s="6"/>
      <c r="AJ424" s="7"/>
      <c r="AK424" s="7"/>
      <c r="AL424" s="6"/>
      <c r="AM424" s="6"/>
      <c r="AN424" s="8"/>
      <c r="AO424" s="8"/>
      <c r="AP424" s="8"/>
      <c r="AQ424" s="8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9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>
      <c r="A425" s="2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5"/>
      <c r="AD425" s="5"/>
      <c r="AE425" s="5"/>
      <c r="AF425" s="5"/>
      <c r="AG425" s="6"/>
      <c r="AH425" s="6"/>
      <c r="AI425" s="6"/>
      <c r="AJ425" s="7"/>
      <c r="AK425" s="7"/>
      <c r="AL425" s="6"/>
      <c r="AM425" s="6"/>
      <c r="AN425" s="8"/>
      <c r="AO425" s="8"/>
      <c r="AP425" s="8"/>
      <c r="AQ425" s="8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9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>
      <c r="A426" s="2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5"/>
      <c r="AD426" s="5"/>
      <c r="AE426" s="5"/>
      <c r="AF426" s="5"/>
      <c r="AG426" s="6"/>
      <c r="AH426" s="6"/>
      <c r="AI426" s="6"/>
      <c r="AJ426" s="7"/>
      <c r="AK426" s="7"/>
      <c r="AL426" s="6"/>
      <c r="AM426" s="6"/>
      <c r="AN426" s="8"/>
      <c r="AO426" s="8"/>
      <c r="AP426" s="8"/>
      <c r="AQ426" s="8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9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>
      <c r="A427" s="2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5"/>
      <c r="AD427" s="5"/>
      <c r="AE427" s="5"/>
      <c r="AF427" s="5"/>
      <c r="AG427" s="6"/>
      <c r="AH427" s="6"/>
      <c r="AI427" s="6"/>
      <c r="AJ427" s="7"/>
      <c r="AK427" s="7"/>
      <c r="AL427" s="6"/>
      <c r="AM427" s="6"/>
      <c r="AN427" s="8"/>
      <c r="AO427" s="8"/>
      <c r="AP427" s="8"/>
      <c r="AQ427" s="8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9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>
      <c r="A428" s="2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5"/>
      <c r="AD428" s="5"/>
      <c r="AE428" s="5"/>
      <c r="AF428" s="5"/>
      <c r="AG428" s="6"/>
      <c r="AH428" s="6"/>
      <c r="AI428" s="6"/>
      <c r="AJ428" s="7"/>
      <c r="AK428" s="7"/>
      <c r="AL428" s="6"/>
      <c r="AM428" s="6"/>
      <c r="AN428" s="8"/>
      <c r="AO428" s="8"/>
      <c r="AP428" s="8"/>
      <c r="AQ428" s="8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9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>
      <c r="A429" s="2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5"/>
      <c r="AD429" s="5"/>
      <c r="AE429" s="5"/>
      <c r="AF429" s="5"/>
      <c r="AG429" s="6"/>
      <c r="AH429" s="6"/>
      <c r="AI429" s="6"/>
      <c r="AJ429" s="7"/>
      <c r="AK429" s="7"/>
      <c r="AL429" s="6"/>
      <c r="AM429" s="6"/>
      <c r="AN429" s="8"/>
      <c r="AO429" s="8"/>
      <c r="AP429" s="8"/>
      <c r="AQ429" s="8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9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>
      <c r="A430" s="2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5"/>
      <c r="AD430" s="5"/>
      <c r="AE430" s="5"/>
      <c r="AF430" s="5"/>
      <c r="AG430" s="6"/>
      <c r="AH430" s="6"/>
      <c r="AI430" s="6"/>
      <c r="AJ430" s="7"/>
      <c r="AK430" s="7"/>
      <c r="AL430" s="6"/>
      <c r="AM430" s="6"/>
      <c r="AN430" s="8"/>
      <c r="AO430" s="8"/>
      <c r="AP430" s="8"/>
      <c r="AQ430" s="8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9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>
      <c r="A431" s="2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5"/>
      <c r="AD431" s="5"/>
      <c r="AE431" s="5"/>
      <c r="AF431" s="5"/>
      <c r="AG431" s="6"/>
      <c r="AH431" s="6"/>
      <c r="AI431" s="6"/>
      <c r="AJ431" s="7"/>
      <c r="AK431" s="7"/>
      <c r="AL431" s="6"/>
      <c r="AM431" s="6"/>
      <c r="AN431" s="8"/>
      <c r="AO431" s="8"/>
      <c r="AP431" s="8"/>
      <c r="AQ431" s="8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9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>
      <c r="A432" s="2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5"/>
      <c r="AD432" s="5"/>
      <c r="AE432" s="5"/>
      <c r="AF432" s="5"/>
      <c r="AG432" s="6"/>
      <c r="AH432" s="6"/>
      <c r="AI432" s="6"/>
      <c r="AJ432" s="7"/>
      <c r="AK432" s="7"/>
      <c r="AL432" s="6"/>
      <c r="AM432" s="6"/>
      <c r="AN432" s="8"/>
      <c r="AO432" s="8"/>
      <c r="AP432" s="8"/>
      <c r="AQ432" s="8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9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>
      <c r="A433" s="2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5"/>
      <c r="AD433" s="5"/>
      <c r="AE433" s="5"/>
      <c r="AF433" s="5"/>
      <c r="AG433" s="6"/>
      <c r="AH433" s="6"/>
      <c r="AI433" s="6"/>
      <c r="AJ433" s="7"/>
      <c r="AK433" s="7"/>
      <c r="AL433" s="6"/>
      <c r="AM433" s="6"/>
      <c r="AN433" s="8"/>
      <c r="AO433" s="8"/>
      <c r="AP433" s="8"/>
      <c r="AQ433" s="8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9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>
      <c r="A434" s="2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5"/>
      <c r="AD434" s="5"/>
      <c r="AE434" s="5"/>
      <c r="AF434" s="5"/>
      <c r="AG434" s="6"/>
      <c r="AH434" s="6"/>
      <c r="AI434" s="6"/>
      <c r="AJ434" s="7"/>
      <c r="AK434" s="7"/>
      <c r="AL434" s="6"/>
      <c r="AM434" s="6"/>
      <c r="AN434" s="8"/>
      <c r="AO434" s="8"/>
      <c r="AP434" s="8"/>
      <c r="AQ434" s="8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9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>
      <c r="A435" s="2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5"/>
      <c r="AD435" s="5"/>
      <c r="AE435" s="5"/>
      <c r="AF435" s="5"/>
      <c r="AG435" s="6"/>
      <c r="AH435" s="6"/>
      <c r="AI435" s="6"/>
      <c r="AJ435" s="7"/>
      <c r="AK435" s="7"/>
      <c r="AL435" s="6"/>
      <c r="AM435" s="6"/>
      <c r="AN435" s="8"/>
      <c r="AO435" s="8"/>
      <c r="AP435" s="8"/>
      <c r="AQ435" s="8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9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>
      <c r="A436" s="2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5"/>
      <c r="AD436" s="5"/>
      <c r="AE436" s="5"/>
      <c r="AF436" s="5"/>
      <c r="AG436" s="6"/>
      <c r="AH436" s="6"/>
      <c r="AI436" s="6"/>
      <c r="AJ436" s="7"/>
      <c r="AK436" s="7"/>
      <c r="AL436" s="6"/>
      <c r="AM436" s="6"/>
      <c r="AN436" s="8"/>
      <c r="AO436" s="8"/>
      <c r="AP436" s="8"/>
      <c r="AQ436" s="8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9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>
      <c r="A437" s="2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5"/>
      <c r="AD437" s="5"/>
      <c r="AE437" s="5"/>
      <c r="AF437" s="5"/>
      <c r="AG437" s="6"/>
      <c r="AH437" s="6"/>
      <c r="AI437" s="6"/>
      <c r="AJ437" s="7"/>
      <c r="AK437" s="7"/>
      <c r="AL437" s="6"/>
      <c r="AM437" s="6"/>
      <c r="AN437" s="8"/>
      <c r="AO437" s="8"/>
      <c r="AP437" s="8"/>
      <c r="AQ437" s="8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9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>
      <c r="A438" s="2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5"/>
      <c r="AD438" s="5"/>
      <c r="AE438" s="5"/>
      <c r="AF438" s="5"/>
      <c r="AG438" s="6"/>
      <c r="AH438" s="6"/>
      <c r="AI438" s="6"/>
      <c r="AJ438" s="7"/>
      <c r="AK438" s="7"/>
      <c r="AL438" s="6"/>
      <c r="AM438" s="6"/>
      <c r="AN438" s="8"/>
      <c r="AO438" s="8"/>
      <c r="AP438" s="8"/>
      <c r="AQ438" s="8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9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>
      <c r="A439" s="2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5"/>
      <c r="AD439" s="5"/>
      <c r="AE439" s="5"/>
      <c r="AF439" s="5"/>
      <c r="AG439" s="6"/>
      <c r="AH439" s="6"/>
      <c r="AI439" s="6"/>
      <c r="AJ439" s="7"/>
      <c r="AK439" s="7"/>
      <c r="AL439" s="6"/>
      <c r="AM439" s="6"/>
      <c r="AN439" s="8"/>
      <c r="AO439" s="8"/>
      <c r="AP439" s="8"/>
      <c r="AQ439" s="8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9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>
      <c r="A440" s="2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5"/>
      <c r="AD440" s="5"/>
      <c r="AE440" s="5"/>
      <c r="AF440" s="5"/>
      <c r="AG440" s="6"/>
      <c r="AH440" s="6"/>
      <c r="AI440" s="6"/>
      <c r="AJ440" s="7"/>
      <c r="AK440" s="7"/>
      <c r="AL440" s="6"/>
      <c r="AM440" s="6"/>
      <c r="AN440" s="8"/>
      <c r="AO440" s="8"/>
      <c r="AP440" s="8"/>
      <c r="AQ440" s="8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9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>
      <c r="A441" s="2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5"/>
      <c r="AD441" s="5"/>
      <c r="AE441" s="5"/>
      <c r="AF441" s="5"/>
      <c r="AG441" s="6"/>
      <c r="AH441" s="6"/>
      <c r="AI441" s="6"/>
      <c r="AJ441" s="7"/>
      <c r="AK441" s="7"/>
      <c r="AL441" s="6"/>
      <c r="AM441" s="6"/>
      <c r="AN441" s="8"/>
      <c r="AO441" s="8"/>
      <c r="AP441" s="8"/>
      <c r="AQ441" s="8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9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>
      <c r="A442" s="2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5"/>
      <c r="AD442" s="5"/>
      <c r="AE442" s="5"/>
      <c r="AF442" s="5"/>
      <c r="AG442" s="6"/>
      <c r="AH442" s="6"/>
      <c r="AI442" s="6"/>
      <c r="AJ442" s="7"/>
      <c r="AK442" s="7"/>
      <c r="AL442" s="6"/>
      <c r="AM442" s="6"/>
      <c r="AN442" s="8"/>
      <c r="AO442" s="8"/>
      <c r="AP442" s="8"/>
      <c r="AQ442" s="8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9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>
      <c r="A443" s="2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5"/>
      <c r="AD443" s="5"/>
      <c r="AE443" s="5"/>
      <c r="AF443" s="5"/>
      <c r="AG443" s="6"/>
      <c r="AH443" s="6"/>
      <c r="AI443" s="6"/>
      <c r="AJ443" s="7"/>
      <c r="AK443" s="7"/>
      <c r="AL443" s="6"/>
      <c r="AM443" s="6"/>
      <c r="AN443" s="8"/>
      <c r="AO443" s="8"/>
      <c r="AP443" s="8"/>
      <c r="AQ443" s="8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9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>
      <c r="A444" s="2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5"/>
      <c r="AD444" s="5"/>
      <c r="AE444" s="5"/>
      <c r="AF444" s="5"/>
      <c r="AG444" s="6"/>
      <c r="AH444" s="6"/>
      <c r="AI444" s="6"/>
      <c r="AJ444" s="7"/>
      <c r="AK444" s="7"/>
      <c r="AL444" s="6"/>
      <c r="AM444" s="6"/>
      <c r="AN444" s="8"/>
      <c r="AO444" s="8"/>
      <c r="AP444" s="8"/>
      <c r="AQ444" s="8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9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>
      <c r="A445" s="2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5"/>
      <c r="AD445" s="5"/>
      <c r="AE445" s="5"/>
      <c r="AF445" s="5"/>
      <c r="AG445" s="6"/>
      <c r="AH445" s="6"/>
      <c r="AI445" s="6"/>
      <c r="AJ445" s="7"/>
      <c r="AK445" s="7"/>
      <c r="AL445" s="6"/>
      <c r="AM445" s="6"/>
      <c r="AN445" s="8"/>
      <c r="AO445" s="8"/>
      <c r="AP445" s="8"/>
      <c r="AQ445" s="8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9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>
      <c r="A446" s="2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5"/>
      <c r="AD446" s="5"/>
      <c r="AE446" s="5"/>
      <c r="AF446" s="5"/>
      <c r="AG446" s="6"/>
      <c r="AH446" s="6"/>
      <c r="AI446" s="6"/>
      <c r="AJ446" s="7"/>
      <c r="AK446" s="7"/>
      <c r="AL446" s="6"/>
      <c r="AM446" s="6"/>
      <c r="AN446" s="8"/>
      <c r="AO446" s="8"/>
      <c r="AP446" s="8"/>
      <c r="AQ446" s="8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9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>
      <c r="A447" s="2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5"/>
      <c r="AD447" s="5"/>
      <c r="AE447" s="5"/>
      <c r="AF447" s="5"/>
      <c r="AG447" s="6"/>
      <c r="AH447" s="6"/>
      <c r="AI447" s="6"/>
      <c r="AJ447" s="7"/>
      <c r="AK447" s="7"/>
      <c r="AL447" s="6"/>
      <c r="AM447" s="6"/>
      <c r="AN447" s="8"/>
      <c r="AO447" s="8"/>
      <c r="AP447" s="8"/>
      <c r="AQ447" s="8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9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>
      <c r="A448" s="2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5"/>
      <c r="AD448" s="5"/>
      <c r="AE448" s="5"/>
      <c r="AF448" s="5"/>
      <c r="AG448" s="6"/>
      <c r="AH448" s="6"/>
      <c r="AI448" s="6"/>
      <c r="AJ448" s="7"/>
      <c r="AK448" s="7"/>
      <c r="AL448" s="6"/>
      <c r="AM448" s="6"/>
      <c r="AN448" s="8"/>
      <c r="AO448" s="8"/>
      <c r="AP448" s="8"/>
      <c r="AQ448" s="8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9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>
      <c r="A449" s="2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5"/>
      <c r="AD449" s="5"/>
      <c r="AE449" s="5"/>
      <c r="AF449" s="5"/>
      <c r="AG449" s="6"/>
      <c r="AH449" s="6"/>
      <c r="AI449" s="6"/>
      <c r="AJ449" s="7"/>
      <c r="AK449" s="7"/>
      <c r="AL449" s="6"/>
      <c r="AM449" s="6"/>
      <c r="AN449" s="8"/>
      <c r="AO449" s="8"/>
      <c r="AP449" s="8"/>
      <c r="AQ449" s="8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9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>
      <c r="A450" s="2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5"/>
      <c r="AD450" s="5"/>
      <c r="AE450" s="5"/>
      <c r="AF450" s="5"/>
      <c r="AG450" s="6"/>
      <c r="AH450" s="6"/>
      <c r="AI450" s="6"/>
      <c r="AJ450" s="7"/>
      <c r="AK450" s="7"/>
      <c r="AL450" s="6"/>
      <c r="AM450" s="6"/>
      <c r="AN450" s="8"/>
      <c r="AO450" s="8"/>
      <c r="AP450" s="8"/>
      <c r="AQ450" s="8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9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>
      <c r="A451" s="2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5"/>
      <c r="AD451" s="5"/>
      <c r="AE451" s="5"/>
      <c r="AF451" s="5"/>
      <c r="AG451" s="6"/>
      <c r="AH451" s="6"/>
      <c r="AI451" s="6"/>
      <c r="AJ451" s="7"/>
      <c r="AK451" s="7"/>
      <c r="AL451" s="6"/>
      <c r="AM451" s="6"/>
      <c r="AN451" s="8"/>
      <c r="AO451" s="8"/>
      <c r="AP451" s="8"/>
      <c r="AQ451" s="8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9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>
      <c r="A452" s="2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5"/>
      <c r="AD452" s="5"/>
      <c r="AE452" s="5"/>
      <c r="AF452" s="5"/>
      <c r="AG452" s="6"/>
      <c r="AH452" s="6"/>
      <c r="AI452" s="6"/>
      <c r="AJ452" s="7"/>
      <c r="AK452" s="7"/>
      <c r="AL452" s="6"/>
      <c r="AM452" s="6"/>
      <c r="AN452" s="8"/>
      <c r="AO452" s="8"/>
      <c r="AP452" s="8"/>
      <c r="AQ452" s="8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9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>
      <c r="A453" s="2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5"/>
      <c r="AD453" s="5"/>
      <c r="AE453" s="5"/>
      <c r="AF453" s="5"/>
      <c r="AG453" s="6"/>
      <c r="AH453" s="6"/>
      <c r="AI453" s="6"/>
      <c r="AJ453" s="7"/>
      <c r="AK453" s="7"/>
      <c r="AL453" s="6"/>
      <c r="AM453" s="6"/>
      <c r="AN453" s="8"/>
      <c r="AO453" s="8"/>
      <c r="AP453" s="8"/>
      <c r="AQ453" s="8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9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>
      <c r="A454" s="2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5"/>
      <c r="AD454" s="5"/>
      <c r="AE454" s="5"/>
      <c r="AF454" s="5"/>
      <c r="AG454" s="6"/>
      <c r="AH454" s="6"/>
      <c r="AI454" s="6"/>
      <c r="AJ454" s="7"/>
      <c r="AK454" s="7"/>
      <c r="AL454" s="6"/>
      <c r="AM454" s="6"/>
      <c r="AN454" s="8"/>
      <c r="AO454" s="8"/>
      <c r="AP454" s="8"/>
      <c r="AQ454" s="8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9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>
      <c r="A455" s="2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5"/>
      <c r="AD455" s="5"/>
      <c r="AE455" s="5"/>
      <c r="AF455" s="5"/>
      <c r="AG455" s="6"/>
      <c r="AH455" s="6"/>
      <c r="AI455" s="6"/>
      <c r="AJ455" s="7"/>
      <c r="AK455" s="7"/>
      <c r="AL455" s="6"/>
      <c r="AM455" s="6"/>
      <c r="AN455" s="8"/>
      <c r="AO455" s="8"/>
      <c r="AP455" s="8"/>
      <c r="AQ455" s="8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9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>
      <c r="A456" s="2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5"/>
      <c r="AD456" s="5"/>
      <c r="AE456" s="5"/>
      <c r="AF456" s="5"/>
      <c r="AG456" s="6"/>
      <c r="AH456" s="6"/>
      <c r="AI456" s="6"/>
      <c r="AJ456" s="7"/>
      <c r="AK456" s="7"/>
      <c r="AL456" s="6"/>
      <c r="AM456" s="6"/>
      <c r="AN456" s="8"/>
      <c r="AO456" s="8"/>
      <c r="AP456" s="8"/>
      <c r="AQ456" s="8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9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>
      <c r="A457" s="2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5"/>
      <c r="AD457" s="5"/>
      <c r="AE457" s="5"/>
      <c r="AF457" s="5"/>
      <c r="AG457" s="6"/>
      <c r="AH457" s="6"/>
      <c r="AI457" s="6"/>
      <c r="AJ457" s="7"/>
      <c r="AK457" s="7"/>
      <c r="AL457" s="6"/>
      <c r="AM457" s="6"/>
      <c r="AN457" s="8"/>
      <c r="AO457" s="8"/>
      <c r="AP457" s="8"/>
      <c r="AQ457" s="8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9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>
      <c r="A458" s="2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5"/>
      <c r="AD458" s="5"/>
      <c r="AE458" s="5"/>
      <c r="AF458" s="5"/>
      <c r="AG458" s="6"/>
      <c r="AH458" s="6"/>
      <c r="AI458" s="6"/>
      <c r="AJ458" s="7"/>
      <c r="AK458" s="7"/>
      <c r="AL458" s="6"/>
      <c r="AM458" s="6"/>
      <c r="AN458" s="8"/>
      <c r="AO458" s="8"/>
      <c r="AP458" s="8"/>
      <c r="AQ458" s="8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9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>
      <c r="A459" s="2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5"/>
      <c r="AD459" s="5"/>
      <c r="AE459" s="5"/>
      <c r="AF459" s="5"/>
      <c r="AG459" s="6"/>
      <c r="AH459" s="6"/>
      <c r="AI459" s="6"/>
      <c r="AJ459" s="7"/>
      <c r="AK459" s="7"/>
      <c r="AL459" s="6"/>
      <c r="AM459" s="6"/>
      <c r="AN459" s="8"/>
      <c r="AO459" s="8"/>
      <c r="AP459" s="8"/>
      <c r="AQ459" s="8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9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>
      <c r="A460" s="2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5"/>
      <c r="AD460" s="5"/>
      <c r="AE460" s="5"/>
      <c r="AF460" s="5"/>
      <c r="AG460" s="6"/>
      <c r="AH460" s="6"/>
      <c r="AI460" s="6"/>
      <c r="AJ460" s="7"/>
      <c r="AK460" s="7"/>
      <c r="AL460" s="6"/>
      <c r="AM460" s="6"/>
      <c r="AN460" s="8"/>
      <c r="AO460" s="8"/>
      <c r="AP460" s="8"/>
      <c r="AQ460" s="8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9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>
      <c r="A461" s="2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5"/>
      <c r="AD461" s="5"/>
      <c r="AE461" s="5"/>
      <c r="AF461" s="5"/>
      <c r="AG461" s="6"/>
      <c r="AH461" s="6"/>
      <c r="AI461" s="6"/>
      <c r="AJ461" s="7"/>
      <c r="AK461" s="7"/>
      <c r="AL461" s="6"/>
      <c r="AM461" s="6"/>
      <c r="AN461" s="8"/>
      <c r="AO461" s="8"/>
      <c r="AP461" s="8"/>
      <c r="AQ461" s="8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9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>
      <c r="A462" s="2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5"/>
      <c r="AD462" s="5"/>
      <c r="AE462" s="5"/>
      <c r="AF462" s="5"/>
      <c r="AG462" s="6"/>
      <c r="AH462" s="6"/>
      <c r="AI462" s="6"/>
      <c r="AJ462" s="7"/>
      <c r="AK462" s="7"/>
      <c r="AL462" s="6"/>
      <c r="AM462" s="6"/>
      <c r="AN462" s="8"/>
      <c r="AO462" s="8"/>
      <c r="AP462" s="8"/>
      <c r="AQ462" s="8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9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>
      <c r="A463" s="2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5"/>
      <c r="AD463" s="5"/>
      <c r="AE463" s="5"/>
      <c r="AF463" s="5"/>
      <c r="AG463" s="6"/>
      <c r="AH463" s="6"/>
      <c r="AI463" s="6"/>
      <c r="AJ463" s="7"/>
      <c r="AK463" s="7"/>
      <c r="AL463" s="6"/>
      <c r="AM463" s="6"/>
      <c r="AN463" s="8"/>
      <c r="AO463" s="8"/>
      <c r="AP463" s="8"/>
      <c r="AQ463" s="8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9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>
      <c r="A464" s="2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5"/>
      <c r="AD464" s="5"/>
      <c r="AE464" s="5"/>
      <c r="AF464" s="5"/>
      <c r="AG464" s="6"/>
      <c r="AH464" s="6"/>
      <c r="AI464" s="6"/>
      <c r="AJ464" s="7"/>
      <c r="AK464" s="7"/>
      <c r="AL464" s="6"/>
      <c r="AM464" s="6"/>
      <c r="AN464" s="8"/>
      <c r="AO464" s="8"/>
      <c r="AP464" s="8"/>
      <c r="AQ464" s="8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9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>
      <c r="A465" s="2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5"/>
      <c r="AD465" s="5"/>
      <c r="AE465" s="5"/>
      <c r="AF465" s="5"/>
      <c r="AG465" s="6"/>
      <c r="AH465" s="6"/>
      <c r="AI465" s="6"/>
      <c r="AJ465" s="7"/>
      <c r="AK465" s="7"/>
      <c r="AL465" s="6"/>
      <c r="AM465" s="6"/>
      <c r="AN465" s="8"/>
      <c r="AO465" s="8"/>
      <c r="AP465" s="8"/>
      <c r="AQ465" s="8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9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>
      <c r="A466" s="2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5"/>
      <c r="AD466" s="5"/>
      <c r="AE466" s="5"/>
      <c r="AF466" s="5"/>
      <c r="AG466" s="6"/>
      <c r="AH466" s="6"/>
      <c r="AI466" s="6"/>
      <c r="AJ466" s="7"/>
      <c r="AK466" s="7"/>
      <c r="AL466" s="6"/>
      <c r="AM466" s="6"/>
      <c r="AN466" s="8"/>
      <c r="AO466" s="8"/>
      <c r="AP466" s="8"/>
      <c r="AQ466" s="8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9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>
      <c r="A467" s="2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5"/>
      <c r="AD467" s="5"/>
      <c r="AE467" s="5"/>
      <c r="AF467" s="5"/>
      <c r="AG467" s="6"/>
      <c r="AH467" s="6"/>
      <c r="AI467" s="6"/>
      <c r="AJ467" s="7"/>
      <c r="AK467" s="7"/>
      <c r="AL467" s="6"/>
      <c r="AM467" s="6"/>
      <c r="AN467" s="8"/>
      <c r="AO467" s="8"/>
      <c r="AP467" s="8"/>
      <c r="AQ467" s="8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9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>
      <c r="A468" s="2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5"/>
      <c r="AD468" s="5"/>
      <c r="AE468" s="5"/>
      <c r="AF468" s="5"/>
      <c r="AG468" s="6"/>
      <c r="AH468" s="6"/>
      <c r="AI468" s="6"/>
      <c r="AJ468" s="7"/>
      <c r="AK468" s="7"/>
      <c r="AL468" s="6"/>
      <c r="AM468" s="6"/>
      <c r="AN468" s="8"/>
      <c r="AO468" s="8"/>
      <c r="AP468" s="8"/>
      <c r="AQ468" s="8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9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>
      <c r="A469" s="2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5"/>
      <c r="AD469" s="5"/>
      <c r="AE469" s="5"/>
      <c r="AF469" s="5"/>
      <c r="AG469" s="6"/>
      <c r="AH469" s="6"/>
      <c r="AI469" s="6"/>
      <c r="AJ469" s="7"/>
      <c r="AK469" s="7"/>
      <c r="AL469" s="6"/>
      <c r="AM469" s="6"/>
      <c r="AN469" s="8"/>
      <c r="AO469" s="8"/>
      <c r="AP469" s="8"/>
      <c r="AQ469" s="8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9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>
      <c r="A470" s="2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5"/>
      <c r="AD470" s="5"/>
      <c r="AE470" s="5"/>
      <c r="AF470" s="5"/>
      <c r="AG470" s="6"/>
      <c r="AH470" s="6"/>
      <c r="AI470" s="6"/>
      <c r="AJ470" s="7"/>
      <c r="AK470" s="7"/>
      <c r="AL470" s="6"/>
      <c r="AM470" s="6"/>
      <c r="AN470" s="8"/>
      <c r="AO470" s="8"/>
      <c r="AP470" s="8"/>
      <c r="AQ470" s="8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9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>
      <c r="A471" s="2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5"/>
      <c r="AD471" s="5"/>
      <c r="AE471" s="5"/>
      <c r="AF471" s="5"/>
      <c r="AG471" s="6"/>
      <c r="AH471" s="6"/>
      <c r="AI471" s="6"/>
      <c r="AJ471" s="7"/>
      <c r="AK471" s="7"/>
      <c r="AL471" s="6"/>
      <c r="AM471" s="6"/>
      <c r="AN471" s="8"/>
      <c r="AO471" s="8"/>
      <c r="AP471" s="8"/>
      <c r="AQ471" s="8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9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>
      <c r="A472" s="2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5"/>
      <c r="AD472" s="5"/>
      <c r="AE472" s="5"/>
      <c r="AF472" s="5"/>
      <c r="AG472" s="6"/>
      <c r="AH472" s="6"/>
      <c r="AI472" s="6"/>
      <c r="AJ472" s="7"/>
      <c r="AK472" s="7"/>
      <c r="AL472" s="6"/>
      <c r="AM472" s="6"/>
      <c r="AN472" s="8"/>
      <c r="AO472" s="8"/>
      <c r="AP472" s="8"/>
      <c r="AQ472" s="8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9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>
      <c r="A473" s="2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5"/>
      <c r="AD473" s="5"/>
      <c r="AE473" s="5"/>
      <c r="AF473" s="5"/>
      <c r="AG473" s="6"/>
      <c r="AH473" s="6"/>
      <c r="AI473" s="6"/>
      <c r="AJ473" s="7"/>
      <c r="AK473" s="7"/>
      <c r="AL473" s="6"/>
      <c r="AM473" s="6"/>
      <c r="AN473" s="8"/>
      <c r="AO473" s="8"/>
      <c r="AP473" s="8"/>
      <c r="AQ473" s="8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9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>
      <c r="A474" s="2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5"/>
      <c r="AD474" s="5"/>
      <c r="AE474" s="5"/>
      <c r="AF474" s="5"/>
      <c r="AG474" s="6"/>
      <c r="AH474" s="6"/>
      <c r="AI474" s="6"/>
      <c r="AJ474" s="7"/>
      <c r="AK474" s="7"/>
      <c r="AL474" s="6"/>
      <c r="AM474" s="6"/>
      <c r="AN474" s="8"/>
      <c r="AO474" s="8"/>
      <c r="AP474" s="8"/>
      <c r="AQ474" s="8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9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>
      <c r="A475" s="2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5"/>
      <c r="AD475" s="5"/>
      <c r="AE475" s="5"/>
      <c r="AF475" s="5"/>
      <c r="AG475" s="6"/>
      <c r="AH475" s="6"/>
      <c r="AI475" s="6"/>
      <c r="AJ475" s="7"/>
      <c r="AK475" s="7"/>
      <c r="AL475" s="6"/>
      <c r="AM475" s="6"/>
      <c r="AN475" s="8"/>
      <c r="AO475" s="8"/>
      <c r="AP475" s="8"/>
      <c r="AQ475" s="8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9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>
      <c r="A476" s="2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5"/>
      <c r="AD476" s="5"/>
      <c r="AE476" s="5"/>
      <c r="AF476" s="5"/>
      <c r="AG476" s="6"/>
      <c r="AH476" s="6"/>
      <c r="AI476" s="6"/>
      <c r="AJ476" s="7"/>
      <c r="AK476" s="7"/>
      <c r="AL476" s="6"/>
      <c r="AM476" s="6"/>
      <c r="AN476" s="8"/>
      <c r="AO476" s="8"/>
      <c r="AP476" s="8"/>
      <c r="AQ476" s="8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9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>
      <c r="A477" s="2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5"/>
      <c r="AD477" s="5"/>
      <c r="AE477" s="5"/>
      <c r="AF477" s="5"/>
      <c r="AG477" s="6"/>
      <c r="AH477" s="6"/>
      <c r="AI477" s="6"/>
      <c r="AJ477" s="7"/>
      <c r="AK477" s="7"/>
      <c r="AL477" s="6"/>
      <c r="AM477" s="6"/>
      <c r="AN477" s="8"/>
      <c r="AO477" s="8"/>
      <c r="AP477" s="8"/>
      <c r="AQ477" s="8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9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>
      <c r="A478" s="2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5"/>
      <c r="AD478" s="5"/>
      <c r="AE478" s="5"/>
      <c r="AF478" s="5"/>
      <c r="AG478" s="6"/>
      <c r="AH478" s="6"/>
      <c r="AI478" s="6"/>
      <c r="AJ478" s="7"/>
      <c r="AK478" s="7"/>
      <c r="AL478" s="6"/>
      <c r="AM478" s="6"/>
      <c r="AN478" s="8"/>
      <c r="AO478" s="8"/>
      <c r="AP478" s="8"/>
      <c r="AQ478" s="8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9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>
      <c r="A479" s="2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5"/>
      <c r="AD479" s="5"/>
      <c r="AE479" s="5"/>
      <c r="AF479" s="5"/>
      <c r="AG479" s="6"/>
      <c r="AH479" s="6"/>
      <c r="AI479" s="6"/>
      <c r="AJ479" s="7"/>
      <c r="AK479" s="7"/>
      <c r="AL479" s="6"/>
      <c r="AM479" s="6"/>
      <c r="AN479" s="8"/>
      <c r="AO479" s="8"/>
      <c r="AP479" s="8"/>
      <c r="AQ479" s="8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9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>
      <c r="A480" s="2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5"/>
      <c r="AD480" s="5"/>
      <c r="AE480" s="5"/>
      <c r="AF480" s="5"/>
      <c r="AG480" s="6"/>
      <c r="AH480" s="6"/>
      <c r="AI480" s="6"/>
      <c r="AJ480" s="7"/>
      <c r="AK480" s="7"/>
      <c r="AL480" s="6"/>
      <c r="AM480" s="6"/>
      <c r="AN480" s="8"/>
      <c r="AO480" s="8"/>
      <c r="AP480" s="8"/>
      <c r="AQ480" s="8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9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>
      <c r="A481" s="2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5"/>
      <c r="AD481" s="5"/>
      <c r="AE481" s="5"/>
      <c r="AF481" s="5"/>
      <c r="AG481" s="6"/>
      <c r="AH481" s="6"/>
      <c r="AI481" s="6"/>
      <c r="AJ481" s="7"/>
      <c r="AK481" s="7"/>
      <c r="AL481" s="6"/>
      <c r="AM481" s="6"/>
      <c r="AN481" s="8"/>
      <c r="AO481" s="8"/>
      <c r="AP481" s="8"/>
      <c r="AQ481" s="8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9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>
      <c r="A482" s="2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5"/>
      <c r="AD482" s="5"/>
      <c r="AE482" s="5"/>
      <c r="AF482" s="5"/>
      <c r="AG482" s="6"/>
      <c r="AH482" s="6"/>
      <c r="AI482" s="6"/>
      <c r="AJ482" s="7"/>
      <c r="AK482" s="7"/>
      <c r="AL482" s="6"/>
      <c r="AM482" s="6"/>
      <c r="AN482" s="8"/>
      <c r="AO482" s="8"/>
      <c r="AP482" s="8"/>
      <c r="AQ482" s="8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9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>
      <c r="A483" s="2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5"/>
      <c r="AD483" s="5"/>
      <c r="AE483" s="5"/>
      <c r="AF483" s="5"/>
      <c r="AG483" s="6"/>
      <c r="AH483" s="6"/>
      <c r="AI483" s="6"/>
      <c r="AJ483" s="7"/>
      <c r="AK483" s="7"/>
      <c r="AL483" s="6"/>
      <c r="AM483" s="6"/>
      <c r="AN483" s="8"/>
      <c r="AO483" s="8"/>
      <c r="AP483" s="8"/>
      <c r="AQ483" s="8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9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>
      <c r="A484" s="2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5"/>
      <c r="AD484" s="5"/>
      <c r="AE484" s="5"/>
      <c r="AF484" s="5"/>
      <c r="AG484" s="6"/>
      <c r="AH484" s="6"/>
      <c r="AI484" s="6"/>
      <c r="AJ484" s="7"/>
      <c r="AK484" s="7"/>
      <c r="AL484" s="6"/>
      <c r="AM484" s="6"/>
      <c r="AN484" s="8"/>
      <c r="AO484" s="8"/>
      <c r="AP484" s="8"/>
      <c r="AQ484" s="8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9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>
      <c r="A485" s="2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5"/>
      <c r="AD485" s="5"/>
      <c r="AE485" s="5"/>
      <c r="AF485" s="5"/>
      <c r="AG485" s="6"/>
      <c r="AH485" s="6"/>
      <c r="AI485" s="6"/>
      <c r="AJ485" s="7"/>
      <c r="AK485" s="7"/>
      <c r="AL485" s="6"/>
      <c r="AM485" s="6"/>
      <c r="AN485" s="8"/>
      <c r="AO485" s="8"/>
      <c r="AP485" s="8"/>
      <c r="AQ485" s="8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9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>
      <c r="A486" s="2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5"/>
      <c r="AD486" s="5"/>
      <c r="AE486" s="5"/>
      <c r="AF486" s="5"/>
      <c r="AG486" s="6"/>
      <c r="AH486" s="6"/>
      <c r="AI486" s="6"/>
      <c r="AJ486" s="7"/>
      <c r="AK486" s="7"/>
      <c r="AL486" s="6"/>
      <c r="AM486" s="6"/>
      <c r="AN486" s="8"/>
      <c r="AO486" s="8"/>
      <c r="AP486" s="8"/>
      <c r="AQ486" s="8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9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>
      <c r="A487" s="2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5"/>
      <c r="AD487" s="5"/>
      <c r="AE487" s="5"/>
      <c r="AF487" s="5"/>
      <c r="AG487" s="6"/>
      <c r="AH487" s="6"/>
      <c r="AI487" s="6"/>
      <c r="AJ487" s="7"/>
      <c r="AK487" s="7"/>
      <c r="AL487" s="6"/>
      <c r="AM487" s="6"/>
      <c r="AN487" s="8"/>
      <c r="AO487" s="8"/>
      <c r="AP487" s="8"/>
      <c r="AQ487" s="8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9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>
      <c r="A488" s="2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5"/>
      <c r="AD488" s="5"/>
      <c r="AE488" s="5"/>
      <c r="AF488" s="5"/>
      <c r="AG488" s="6"/>
      <c r="AH488" s="6"/>
      <c r="AI488" s="6"/>
      <c r="AJ488" s="7"/>
      <c r="AK488" s="7"/>
      <c r="AL488" s="6"/>
      <c r="AM488" s="6"/>
      <c r="AN488" s="8"/>
      <c r="AO488" s="8"/>
      <c r="AP488" s="8"/>
      <c r="AQ488" s="8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9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>
      <c r="A489" s="2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5"/>
      <c r="AD489" s="5"/>
      <c r="AE489" s="5"/>
      <c r="AF489" s="5"/>
      <c r="AG489" s="6"/>
      <c r="AH489" s="6"/>
      <c r="AI489" s="6"/>
      <c r="AJ489" s="7"/>
      <c r="AK489" s="7"/>
      <c r="AL489" s="6"/>
      <c r="AM489" s="6"/>
      <c r="AN489" s="8"/>
      <c r="AO489" s="8"/>
      <c r="AP489" s="8"/>
      <c r="AQ489" s="8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9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>
      <c r="A490" s="2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5"/>
      <c r="AD490" s="5"/>
      <c r="AE490" s="5"/>
      <c r="AF490" s="5"/>
      <c r="AG490" s="6"/>
      <c r="AH490" s="6"/>
      <c r="AI490" s="6"/>
      <c r="AJ490" s="7"/>
      <c r="AK490" s="7"/>
      <c r="AL490" s="6"/>
      <c r="AM490" s="6"/>
      <c r="AN490" s="8"/>
      <c r="AO490" s="8"/>
      <c r="AP490" s="8"/>
      <c r="AQ490" s="8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9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>
      <c r="A491" s="2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5"/>
      <c r="AD491" s="5"/>
      <c r="AE491" s="5"/>
      <c r="AF491" s="5"/>
      <c r="AG491" s="6"/>
      <c r="AH491" s="6"/>
      <c r="AI491" s="6"/>
      <c r="AJ491" s="7"/>
      <c r="AK491" s="7"/>
      <c r="AL491" s="6"/>
      <c r="AM491" s="6"/>
      <c r="AN491" s="8"/>
      <c r="AO491" s="8"/>
      <c r="AP491" s="8"/>
      <c r="AQ491" s="8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9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>
      <c r="A492" s="2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5"/>
      <c r="AD492" s="5"/>
      <c r="AE492" s="5"/>
      <c r="AF492" s="5"/>
      <c r="AG492" s="6"/>
      <c r="AH492" s="6"/>
      <c r="AI492" s="6"/>
      <c r="AJ492" s="7"/>
      <c r="AK492" s="7"/>
      <c r="AL492" s="6"/>
      <c r="AM492" s="6"/>
      <c r="AN492" s="8"/>
      <c r="AO492" s="8"/>
      <c r="AP492" s="8"/>
      <c r="AQ492" s="8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9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>
      <c r="A493" s="2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5"/>
      <c r="AD493" s="5"/>
      <c r="AE493" s="5"/>
      <c r="AF493" s="5"/>
      <c r="AG493" s="6"/>
      <c r="AH493" s="6"/>
      <c r="AI493" s="6"/>
      <c r="AJ493" s="7"/>
      <c r="AK493" s="7"/>
      <c r="AL493" s="6"/>
      <c r="AM493" s="6"/>
      <c r="AN493" s="8"/>
      <c r="AO493" s="8"/>
      <c r="AP493" s="8"/>
      <c r="AQ493" s="8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9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>
      <c r="A494" s="2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5"/>
      <c r="AD494" s="5"/>
      <c r="AE494" s="5"/>
      <c r="AF494" s="5"/>
      <c r="AG494" s="6"/>
      <c r="AH494" s="6"/>
      <c r="AI494" s="6"/>
      <c r="AJ494" s="7"/>
      <c r="AK494" s="7"/>
      <c r="AL494" s="6"/>
      <c r="AM494" s="6"/>
      <c r="AN494" s="8"/>
      <c r="AO494" s="8"/>
      <c r="AP494" s="8"/>
      <c r="AQ494" s="8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9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>
      <c r="A495" s="2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5"/>
      <c r="AD495" s="5"/>
      <c r="AE495" s="5"/>
      <c r="AF495" s="5"/>
      <c r="AG495" s="6"/>
      <c r="AH495" s="6"/>
      <c r="AI495" s="6"/>
      <c r="AJ495" s="7"/>
      <c r="AK495" s="7"/>
      <c r="AL495" s="6"/>
      <c r="AM495" s="6"/>
      <c r="AN495" s="8"/>
      <c r="AO495" s="8"/>
      <c r="AP495" s="8"/>
      <c r="AQ495" s="8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9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>
      <c r="A496" s="2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5"/>
      <c r="AD496" s="5"/>
      <c r="AE496" s="5"/>
      <c r="AF496" s="5"/>
      <c r="AG496" s="6"/>
      <c r="AH496" s="6"/>
      <c r="AI496" s="6"/>
      <c r="AJ496" s="7"/>
      <c r="AK496" s="7"/>
      <c r="AL496" s="6"/>
      <c r="AM496" s="6"/>
      <c r="AN496" s="8"/>
      <c r="AO496" s="8"/>
      <c r="AP496" s="8"/>
      <c r="AQ496" s="8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9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>
      <c r="A497" s="2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5"/>
      <c r="AD497" s="5"/>
      <c r="AE497" s="5"/>
      <c r="AF497" s="5"/>
      <c r="AG497" s="6"/>
      <c r="AH497" s="6"/>
      <c r="AI497" s="6"/>
      <c r="AJ497" s="7"/>
      <c r="AK497" s="7"/>
      <c r="AL497" s="6"/>
      <c r="AM497" s="6"/>
      <c r="AN497" s="8"/>
      <c r="AO497" s="8"/>
      <c r="AP497" s="8"/>
      <c r="AQ497" s="8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9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>
      <c r="A498" s="2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5"/>
      <c r="AD498" s="5"/>
      <c r="AE498" s="5"/>
      <c r="AF498" s="5"/>
      <c r="AG498" s="6"/>
      <c r="AH498" s="6"/>
      <c r="AI498" s="6"/>
      <c r="AJ498" s="7"/>
      <c r="AK498" s="7"/>
      <c r="AL498" s="6"/>
      <c r="AM498" s="6"/>
      <c r="AN498" s="8"/>
      <c r="AO498" s="8"/>
      <c r="AP498" s="8"/>
      <c r="AQ498" s="8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9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>
      <c r="A499" s="2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5"/>
      <c r="AD499" s="5"/>
      <c r="AE499" s="5"/>
      <c r="AF499" s="5"/>
      <c r="AG499" s="6"/>
      <c r="AH499" s="6"/>
      <c r="AI499" s="6"/>
      <c r="AJ499" s="7"/>
      <c r="AK499" s="7"/>
      <c r="AL499" s="6"/>
      <c r="AM499" s="6"/>
      <c r="AN499" s="8"/>
      <c r="AO499" s="8"/>
      <c r="AP499" s="8"/>
      <c r="AQ499" s="8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9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>
      <c r="A500" s="2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5"/>
      <c r="AD500" s="5"/>
      <c r="AE500" s="5"/>
      <c r="AF500" s="5"/>
      <c r="AG500" s="6"/>
      <c r="AH500" s="6"/>
      <c r="AI500" s="6"/>
      <c r="AJ500" s="7"/>
      <c r="AK500" s="7"/>
      <c r="AL500" s="6"/>
      <c r="AM500" s="6"/>
      <c r="AN500" s="8"/>
      <c r="AO500" s="8"/>
      <c r="AP500" s="8"/>
      <c r="AQ500" s="8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9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>
      <c r="A501" s="2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5"/>
      <c r="AD501" s="5"/>
      <c r="AE501" s="5"/>
      <c r="AF501" s="5"/>
      <c r="AG501" s="6"/>
      <c r="AH501" s="6"/>
      <c r="AI501" s="6"/>
      <c r="AJ501" s="7"/>
      <c r="AK501" s="7"/>
      <c r="AL501" s="6"/>
      <c r="AM501" s="6"/>
      <c r="AN501" s="8"/>
      <c r="AO501" s="8"/>
      <c r="AP501" s="8"/>
      <c r="AQ501" s="8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9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>
      <c r="A502" s="2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5"/>
      <c r="AD502" s="5"/>
      <c r="AE502" s="5"/>
      <c r="AF502" s="5"/>
      <c r="AG502" s="6"/>
      <c r="AH502" s="6"/>
      <c r="AI502" s="6"/>
      <c r="AJ502" s="7"/>
      <c r="AK502" s="7"/>
      <c r="AL502" s="6"/>
      <c r="AM502" s="6"/>
      <c r="AN502" s="8"/>
      <c r="AO502" s="8"/>
      <c r="AP502" s="8"/>
      <c r="AQ502" s="8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9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>
      <c r="A503" s="2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5"/>
      <c r="AD503" s="5"/>
      <c r="AE503" s="5"/>
      <c r="AF503" s="5"/>
      <c r="AG503" s="6"/>
      <c r="AH503" s="6"/>
      <c r="AI503" s="6"/>
      <c r="AJ503" s="7"/>
      <c r="AK503" s="7"/>
      <c r="AL503" s="6"/>
      <c r="AM503" s="6"/>
      <c r="AN503" s="8"/>
      <c r="AO503" s="8"/>
      <c r="AP503" s="8"/>
      <c r="AQ503" s="8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9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>
      <c r="A504" s="2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5"/>
      <c r="AD504" s="5"/>
      <c r="AE504" s="5"/>
      <c r="AF504" s="5"/>
      <c r="AG504" s="6"/>
      <c r="AH504" s="6"/>
      <c r="AI504" s="6"/>
      <c r="AJ504" s="7"/>
      <c r="AK504" s="7"/>
      <c r="AL504" s="6"/>
      <c r="AM504" s="6"/>
      <c r="AN504" s="8"/>
      <c r="AO504" s="8"/>
      <c r="AP504" s="8"/>
      <c r="AQ504" s="8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9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>
      <c r="A505" s="2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5"/>
      <c r="AD505" s="5"/>
      <c r="AE505" s="5"/>
      <c r="AF505" s="5"/>
      <c r="AG505" s="6"/>
      <c r="AH505" s="6"/>
      <c r="AI505" s="6"/>
      <c r="AJ505" s="7"/>
      <c r="AK505" s="7"/>
      <c r="AL505" s="6"/>
      <c r="AM505" s="6"/>
      <c r="AN505" s="8"/>
      <c r="AO505" s="8"/>
      <c r="AP505" s="8"/>
      <c r="AQ505" s="8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9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>
      <c r="A506" s="2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5"/>
      <c r="AD506" s="5"/>
      <c r="AE506" s="5"/>
      <c r="AF506" s="5"/>
      <c r="AG506" s="6"/>
      <c r="AH506" s="6"/>
      <c r="AI506" s="6"/>
      <c r="AJ506" s="7"/>
      <c r="AK506" s="7"/>
      <c r="AL506" s="6"/>
      <c r="AM506" s="6"/>
      <c r="AN506" s="8"/>
      <c r="AO506" s="8"/>
      <c r="AP506" s="8"/>
      <c r="AQ506" s="8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9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>
      <c r="A507" s="2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5"/>
      <c r="AD507" s="5"/>
      <c r="AE507" s="5"/>
      <c r="AF507" s="5"/>
      <c r="AG507" s="6"/>
      <c r="AH507" s="6"/>
      <c r="AI507" s="6"/>
      <c r="AJ507" s="7"/>
      <c r="AK507" s="7"/>
      <c r="AL507" s="6"/>
      <c r="AM507" s="6"/>
      <c r="AN507" s="8"/>
      <c r="AO507" s="8"/>
      <c r="AP507" s="8"/>
      <c r="AQ507" s="8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9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>
      <c r="A508" s="2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5"/>
      <c r="AD508" s="5"/>
      <c r="AE508" s="5"/>
      <c r="AF508" s="5"/>
      <c r="AG508" s="6"/>
      <c r="AH508" s="6"/>
      <c r="AI508" s="6"/>
      <c r="AJ508" s="7"/>
      <c r="AK508" s="7"/>
      <c r="AL508" s="6"/>
      <c r="AM508" s="6"/>
      <c r="AN508" s="8"/>
      <c r="AO508" s="8"/>
      <c r="AP508" s="8"/>
      <c r="AQ508" s="8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9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>
      <c r="A509" s="2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5"/>
      <c r="AD509" s="5"/>
      <c r="AE509" s="5"/>
      <c r="AF509" s="5"/>
      <c r="AG509" s="6"/>
      <c r="AH509" s="6"/>
      <c r="AI509" s="6"/>
      <c r="AJ509" s="7"/>
      <c r="AK509" s="7"/>
      <c r="AL509" s="6"/>
      <c r="AM509" s="6"/>
      <c r="AN509" s="8"/>
      <c r="AO509" s="8"/>
      <c r="AP509" s="8"/>
      <c r="AQ509" s="8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9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>
      <c r="A510" s="2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5"/>
      <c r="AD510" s="5"/>
      <c r="AE510" s="5"/>
      <c r="AF510" s="5"/>
      <c r="AG510" s="6"/>
      <c r="AH510" s="6"/>
      <c r="AI510" s="6"/>
      <c r="AJ510" s="7"/>
      <c r="AK510" s="7"/>
      <c r="AL510" s="6"/>
      <c r="AM510" s="6"/>
      <c r="AN510" s="8"/>
      <c r="AO510" s="8"/>
      <c r="AP510" s="8"/>
      <c r="AQ510" s="8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9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>
      <c r="A511" s="2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5"/>
      <c r="AD511" s="5"/>
      <c r="AE511" s="5"/>
      <c r="AF511" s="5"/>
      <c r="AG511" s="6"/>
      <c r="AH511" s="6"/>
      <c r="AI511" s="6"/>
      <c r="AJ511" s="7"/>
      <c r="AK511" s="7"/>
      <c r="AL511" s="6"/>
      <c r="AM511" s="6"/>
      <c r="AN511" s="8"/>
      <c r="AO511" s="8"/>
      <c r="AP511" s="8"/>
      <c r="AQ511" s="8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9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>
      <c r="A512" s="2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5"/>
      <c r="AD512" s="5"/>
      <c r="AE512" s="5"/>
      <c r="AF512" s="5"/>
      <c r="AG512" s="6"/>
      <c r="AH512" s="6"/>
      <c r="AI512" s="6"/>
      <c r="AJ512" s="7"/>
      <c r="AK512" s="7"/>
      <c r="AL512" s="6"/>
      <c r="AM512" s="6"/>
      <c r="AN512" s="8"/>
      <c r="AO512" s="8"/>
      <c r="AP512" s="8"/>
      <c r="AQ512" s="8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9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>
      <c r="A513" s="2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5"/>
      <c r="AD513" s="5"/>
      <c r="AE513" s="5"/>
      <c r="AF513" s="5"/>
      <c r="AG513" s="6"/>
      <c r="AH513" s="6"/>
      <c r="AI513" s="6"/>
      <c r="AJ513" s="7"/>
      <c r="AK513" s="7"/>
      <c r="AL513" s="6"/>
      <c r="AM513" s="6"/>
      <c r="AN513" s="8"/>
      <c r="AO513" s="8"/>
      <c r="AP513" s="8"/>
      <c r="AQ513" s="8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9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>
      <c r="A514" s="2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5"/>
      <c r="AD514" s="5"/>
      <c r="AE514" s="5"/>
      <c r="AF514" s="5"/>
      <c r="AG514" s="6"/>
      <c r="AH514" s="6"/>
      <c r="AI514" s="6"/>
      <c r="AJ514" s="7"/>
      <c r="AK514" s="7"/>
      <c r="AL514" s="6"/>
      <c r="AM514" s="6"/>
      <c r="AN514" s="8"/>
      <c r="AO514" s="8"/>
      <c r="AP514" s="8"/>
      <c r="AQ514" s="8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9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>
      <c r="A515" s="2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5"/>
      <c r="AD515" s="5"/>
      <c r="AE515" s="5"/>
      <c r="AF515" s="5"/>
      <c r="AG515" s="6"/>
      <c r="AH515" s="6"/>
      <c r="AI515" s="6"/>
      <c r="AJ515" s="7"/>
      <c r="AK515" s="7"/>
      <c r="AL515" s="6"/>
      <c r="AM515" s="6"/>
      <c r="AN515" s="8"/>
      <c r="AO515" s="8"/>
      <c r="AP515" s="8"/>
      <c r="AQ515" s="8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9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>
      <c r="A516" s="2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5"/>
      <c r="AD516" s="5"/>
      <c r="AE516" s="5"/>
      <c r="AF516" s="5"/>
      <c r="AG516" s="6"/>
      <c r="AH516" s="6"/>
      <c r="AI516" s="6"/>
      <c r="AJ516" s="7"/>
      <c r="AK516" s="7"/>
      <c r="AL516" s="6"/>
      <c r="AM516" s="6"/>
      <c r="AN516" s="8"/>
      <c r="AO516" s="8"/>
      <c r="AP516" s="8"/>
      <c r="AQ516" s="8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9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>
      <c r="A517" s="2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5"/>
      <c r="AD517" s="5"/>
      <c r="AE517" s="5"/>
      <c r="AF517" s="5"/>
      <c r="AG517" s="6"/>
      <c r="AH517" s="6"/>
      <c r="AI517" s="6"/>
      <c r="AJ517" s="7"/>
      <c r="AK517" s="7"/>
      <c r="AL517" s="6"/>
      <c r="AM517" s="6"/>
      <c r="AN517" s="8"/>
      <c r="AO517" s="8"/>
      <c r="AP517" s="8"/>
      <c r="AQ517" s="8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9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>
      <c r="A518" s="2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5"/>
      <c r="AD518" s="5"/>
      <c r="AE518" s="5"/>
      <c r="AF518" s="5"/>
      <c r="AG518" s="6"/>
      <c r="AH518" s="6"/>
      <c r="AI518" s="6"/>
      <c r="AJ518" s="7"/>
      <c r="AK518" s="7"/>
      <c r="AL518" s="6"/>
      <c r="AM518" s="6"/>
      <c r="AN518" s="8"/>
      <c r="AO518" s="8"/>
      <c r="AP518" s="8"/>
      <c r="AQ518" s="8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9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>
      <c r="A519" s="2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5"/>
      <c r="AD519" s="5"/>
      <c r="AE519" s="5"/>
      <c r="AF519" s="5"/>
      <c r="AG519" s="6"/>
      <c r="AH519" s="6"/>
      <c r="AI519" s="6"/>
      <c r="AJ519" s="7"/>
      <c r="AK519" s="7"/>
      <c r="AL519" s="6"/>
      <c r="AM519" s="6"/>
      <c r="AN519" s="8"/>
      <c r="AO519" s="8"/>
      <c r="AP519" s="8"/>
      <c r="AQ519" s="8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9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>
      <c r="A520" s="2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5"/>
      <c r="AD520" s="5"/>
      <c r="AE520" s="5"/>
      <c r="AF520" s="5"/>
      <c r="AG520" s="6"/>
      <c r="AH520" s="6"/>
      <c r="AI520" s="6"/>
      <c r="AJ520" s="7"/>
      <c r="AK520" s="7"/>
      <c r="AL520" s="6"/>
      <c r="AM520" s="6"/>
      <c r="AN520" s="8"/>
      <c r="AO520" s="8"/>
      <c r="AP520" s="8"/>
      <c r="AQ520" s="8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9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>
      <c r="A521" s="2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5"/>
      <c r="AD521" s="5"/>
      <c r="AE521" s="5"/>
      <c r="AF521" s="5"/>
      <c r="AG521" s="6"/>
      <c r="AH521" s="6"/>
      <c r="AI521" s="6"/>
      <c r="AJ521" s="7"/>
      <c r="AK521" s="7"/>
      <c r="AL521" s="6"/>
      <c r="AM521" s="6"/>
      <c r="AN521" s="8"/>
      <c r="AO521" s="8"/>
      <c r="AP521" s="8"/>
      <c r="AQ521" s="8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9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>
      <c r="A522" s="2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5"/>
      <c r="AD522" s="5"/>
      <c r="AE522" s="5"/>
      <c r="AF522" s="5"/>
      <c r="AG522" s="6"/>
      <c r="AH522" s="6"/>
      <c r="AI522" s="6"/>
      <c r="AJ522" s="7"/>
      <c r="AK522" s="7"/>
      <c r="AL522" s="6"/>
      <c r="AM522" s="6"/>
      <c r="AN522" s="8"/>
      <c r="AO522" s="8"/>
      <c r="AP522" s="8"/>
      <c r="AQ522" s="8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9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>
      <c r="A523" s="2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5"/>
      <c r="AD523" s="5"/>
      <c r="AE523" s="5"/>
      <c r="AF523" s="5"/>
      <c r="AG523" s="6"/>
      <c r="AH523" s="6"/>
      <c r="AI523" s="6"/>
      <c r="AJ523" s="7"/>
      <c r="AK523" s="7"/>
      <c r="AL523" s="6"/>
      <c r="AM523" s="6"/>
      <c r="AN523" s="8"/>
      <c r="AO523" s="8"/>
      <c r="AP523" s="8"/>
      <c r="AQ523" s="8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9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>
      <c r="A524" s="2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5"/>
      <c r="AD524" s="5"/>
      <c r="AE524" s="5"/>
      <c r="AF524" s="5"/>
      <c r="AG524" s="6"/>
      <c r="AH524" s="6"/>
      <c r="AI524" s="6"/>
      <c r="AJ524" s="7"/>
      <c r="AK524" s="7"/>
      <c r="AL524" s="6"/>
      <c r="AM524" s="6"/>
      <c r="AN524" s="8"/>
      <c r="AO524" s="8"/>
      <c r="AP524" s="8"/>
      <c r="AQ524" s="8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9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>
      <c r="A525" s="2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5"/>
      <c r="AD525" s="5"/>
      <c r="AE525" s="5"/>
      <c r="AF525" s="5"/>
      <c r="AG525" s="6"/>
      <c r="AH525" s="6"/>
      <c r="AI525" s="6"/>
      <c r="AJ525" s="7"/>
      <c r="AK525" s="7"/>
      <c r="AL525" s="6"/>
      <c r="AM525" s="6"/>
      <c r="AN525" s="8"/>
      <c r="AO525" s="8"/>
      <c r="AP525" s="8"/>
      <c r="AQ525" s="8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9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>
      <c r="A526" s="2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5"/>
      <c r="AD526" s="5"/>
      <c r="AE526" s="5"/>
      <c r="AF526" s="5"/>
      <c r="AG526" s="6"/>
      <c r="AH526" s="6"/>
      <c r="AI526" s="6"/>
      <c r="AJ526" s="7"/>
      <c r="AK526" s="7"/>
      <c r="AL526" s="6"/>
      <c r="AM526" s="6"/>
      <c r="AN526" s="8"/>
      <c r="AO526" s="8"/>
      <c r="AP526" s="8"/>
      <c r="AQ526" s="8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9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>
      <c r="A527" s="2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5"/>
      <c r="AD527" s="5"/>
      <c r="AE527" s="5"/>
      <c r="AF527" s="5"/>
      <c r="AG527" s="6"/>
      <c r="AH527" s="6"/>
      <c r="AI527" s="6"/>
      <c r="AJ527" s="7"/>
      <c r="AK527" s="7"/>
      <c r="AL527" s="6"/>
      <c r="AM527" s="6"/>
      <c r="AN527" s="8"/>
      <c r="AO527" s="8"/>
      <c r="AP527" s="8"/>
      <c r="AQ527" s="8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9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>
      <c r="A528" s="2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5"/>
      <c r="AD528" s="5"/>
      <c r="AE528" s="5"/>
      <c r="AF528" s="5"/>
      <c r="AG528" s="6"/>
      <c r="AH528" s="6"/>
      <c r="AI528" s="6"/>
      <c r="AJ528" s="7"/>
      <c r="AK528" s="7"/>
      <c r="AL528" s="6"/>
      <c r="AM528" s="6"/>
      <c r="AN528" s="8"/>
      <c r="AO528" s="8"/>
      <c r="AP528" s="8"/>
      <c r="AQ528" s="8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9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>
      <c r="A529" s="2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5"/>
      <c r="AD529" s="5"/>
      <c r="AE529" s="5"/>
      <c r="AF529" s="5"/>
      <c r="AG529" s="6"/>
      <c r="AH529" s="6"/>
      <c r="AI529" s="6"/>
      <c r="AJ529" s="7"/>
      <c r="AK529" s="7"/>
      <c r="AL529" s="6"/>
      <c r="AM529" s="6"/>
      <c r="AN529" s="8"/>
      <c r="AO529" s="8"/>
      <c r="AP529" s="8"/>
      <c r="AQ529" s="8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9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>
      <c r="A530" s="2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5"/>
      <c r="AD530" s="5"/>
      <c r="AE530" s="5"/>
      <c r="AF530" s="5"/>
      <c r="AG530" s="6"/>
      <c r="AH530" s="6"/>
      <c r="AI530" s="6"/>
      <c r="AJ530" s="7"/>
      <c r="AK530" s="7"/>
      <c r="AL530" s="6"/>
      <c r="AM530" s="6"/>
      <c r="AN530" s="8"/>
      <c r="AO530" s="8"/>
      <c r="AP530" s="8"/>
      <c r="AQ530" s="8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9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>
      <c r="A531" s="2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5"/>
      <c r="AD531" s="5"/>
      <c r="AE531" s="5"/>
      <c r="AF531" s="5"/>
      <c r="AG531" s="6"/>
      <c r="AH531" s="6"/>
      <c r="AI531" s="6"/>
      <c r="AJ531" s="7"/>
      <c r="AK531" s="7"/>
      <c r="AL531" s="6"/>
      <c r="AM531" s="6"/>
      <c r="AN531" s="8"/>
      <c r="AO531" s="8"/>
      <c r="AP531" s="8"/>
      <c r="AQ531" s="8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9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>
      <c r="A532" s="2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5"/>
      <c r="AD532" s="5"/>
      <c r="AE532" s="5"/>
      <c r="AF532" s="5"/>
      <c r="AG532" s="6"/>
      <c r="AH532" s="6"/>
      <c r="AI532" s="6"/>
      <c r="AJ532" s="7"/>
      <c r="AK532" s="7"/>
      <c r="AL532" s="6"/>
      <c r="AM532" s="6"/>
      <c r="AN532" s="8"/>
      <c r="AO532" s="8"/>
      <c r="AP532" s="8"/>
      <c r="AQ532" s="8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9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>
      <c r="A533" s="2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5"/>
      <c r="AD533" s="5"/>
      <c r="AE533" s="5"/>
      <c r="AF533" s="5"/>
      <c r="AG533" s="6"/>
      <c r="AH533" s="6"/>
      <c r="AI533" s="6"/>
      <c r="AJ533" s="7"/>
      <c r="AK533" s="7"/>
      <c r="AL533" s="6"/>
      <c r="AM533" s="6"/>
      <c r="AN533" s="8"/>
      <c r="AO533" s="8"/>
      <c r="AP533" s="8"/>
      <c r="AQ533" s="8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9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>
      <c r="A534" s="2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5"/>
      <c r="AD534" s="5"/>
      <c r="AE534" s="5"/>
      <c r="AF534" s="5"/>
      <c r="AG534" s="6"/>
      <c r="AH534" s="6"/>
      <c r="AI534" s="6"/>
      <c r="AJ534" s="7"/>
      <c r="AK534" s="7"/>
      <c r="AL534" s="6"/>
      <c r="AM534" s="6"/>
      <c r="AN534" s="8"/>
      <c r="AO534" s="8"/>
      <c r="AP534" s="8"/>
      <c r="AQ534" s="8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9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>
      <c r="A535" s="2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5"/>
      <c r="AD535" s="5"/>
      <c r="AE535" s="5"/>
      <c r="AF535" s="5"/>
      <c r="AG535" s="6"/>
      <c r="AH535" s="6"/>
      <c r="AI535" s="6"/>
      <c r="AJ535" s="7"/>
      <c r="AK535" s="7"/>
      <c r="AL535" s="6"/>
      <c r="AM535" s="6"/>
      <c r="AN535" s="8"/>
      <c r="AO535" s="8"/>
      <c r="AP535" s="8"/>
      <c r="AQ535" s="8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9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>
      <c r="A536" s="2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5"/>
      <c r="AD536" s="5"/>
      <c r="AE536" s="5"/>
      <c r="AF536" s="5"/>
      <c r="AG536" s="6"/>
      <c r="AH536" s="6"/>
      <c r="AI536" s="6"/>
      <c r="AJ536" s="7"/>
      <c r="AK536" s="7"/>
      <c r="AL536" s="6"/>
      <c r="AM536" s="6"/>
      <c r="AN536" s="8"/>
      <c r="AO536" s="8"/>
      <c r="AP536" s="8"/>
      <c r="AQ536" s="8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9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>
      <c r="A537" s="2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5"/>
      <c r="AD537" s="5"/>
      <c r="AE537" s="5"/>
      <c r="AF537" s="5"/>
      <c r="AG537" s="6"/>
      <c r="AH537" s="6"/>
      <c r="AI537" s="6"/>
      <c r="AJ537" s="7"/>
      <c r="AK537" s="7"/>
      <c r="AL537" s="6"/>
      <c r="AM537" s="6"/>
      <c r="AN537" s="8"/>
      <c r="AO537" s="8"/>
      <c r="AP537" s="8"/>
      <c r="AQ537" s="8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9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>
      <c r="A538" s="2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5"/>
      <c r="AD538" s="5"/>
      <c r="AE538" s="5"/>
      <c r="AF538" s="5"/>
      <c r="AG538" s="6"/>
      <c r="AH538" s="6"/>
      <c r="AI538" s="6"/>
      <c r="AJ538" s="7"/>
      <c r="AK538" s="7"/>
      <c r="AL538" s="6"/>
      <c r="AM538" s="6"/>
      <c r="AN538" s="8"/>
      <c r="AO538" s="8"/>
      <c r="AP538" s="8"/>
      <c r="AQ538" s="8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9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>
      <c r="A539" s="2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5"/>
      <c r="AD539" s="5"/>
      <c r="AE539" s="5"/>
      <c r="AF539" s="5"/>
      <c r="AG539" s="6"/>
      <c r="AH539" s="6"/>
      <c r="AI539" s="6"/>
      <c r="AJ539" s="7"/>
      <c r="AK539" s="7"/>
      <c r="AL539" s="6"/>
      <c r="AM539" s="6"/>
      <c r="AN539" s="8"/>
      <c r="AO539" s="8"/>
      <c r="AP539" s="8"/>
      <c r="AQ539" s="8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9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>
      <c r="A540" s="2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5"/>
      <c r="AD540" s="5"/>
      <c r="AE540" s="5"/>
      <c r="AF540" s="5"/>
      <c r="AG540" s="6"/>
      <c r="AH540" s="6"/>
      <c r="AI540" s="6"/>
      <c r="AJ540" s="7"/>
      <c r="AK540" s="7"/>
      <c r="AL540" s="6"/>
      <c r="AM540" s="6"/>
      <c r="AN540" s="8"/>
      <c r="AO540" s="8"/>
      <c r="AP540" s="8"/>
      <c r="AQ540" s="8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9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>
      <c r="A541" s="2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5"/>
      <c r="AD541" s="5"/>
      <c r="AE541" s="5"/>
      <c r="AF541" s="5"/>
      <c r="AG541" s="6"/>
      <c r="AH541" s="6"/>
      <c r="AI541" s="6"/>
      <c r="AJ541" s="7"/>
      <c r="AK541" s="7"/>
      <c r="AL541" s="6"/>
      <c r="AM541" s="6"/>
      <c r="AN541" s="8"/>
      <c r="AO541" s="8"/>
      <c r="AP541" s="8"/>
      <c r="AQ541" s="8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9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>
      <c r="A542" s="2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5"/>
      <c r="AD542" s="5"/>
      <c r="AE542" s="5"/>
      <c r="AF542" s="5"/>
      <c r="AG542" s="6"/>
      <c r="AH542" s="6"/>
      <c r="AI542" s="6"/>
      <c r="AJ542" s="7"/>
      <c r="AK542" s="7"/>
      <c r="AL542" s="6"/>
      <c r="AM542" s="6"/>
      <c r="AN542" s="8"/>
      <c r="AO542" s="8"/>
      <c r="AP542" s="8"/>
      <c r="AQ542" s="8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9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>
      <c r="A543" s="2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5"/>
      <c r="AD543" s="5"/>
      <c r="AE543" s="5"/>
      <c r="AF543" s="5"/>
      <c r="AG543" s="6"/>
      <c r="AH543" s="6"/>
      <c r="AI543" s="6"/>
      <c r="AJ543" s="7"/>
      <c r="AK543" s="7"/>
      <c r="AL543" s="6"/>
      <c r="AM543" s="6"/>
      <c r="AN543" s="8"/>
      <c r="AO543" s="8"/>
      <c r="AP543" s="8"/>
      <c r="AQ543" s="8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9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>
      <c r="A544" s="2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5"/>
      <c r="AD544" s="5"/>
      <c r="AE544" s="5"/>
      <c r="AF544" s="5"/>
      <c r="AG544" s="6"/>
      <c r="AH544" s="6"/>
      <c r="AI544" s="6"/>
      <c r="AJ544" s="7"/>
      <c r="AK544" s="7"/>
      <c r="AL544" s="6"/>
      <c r="AM544" s="6"/>
      <c r="AN544" s="8"/>
      <c r="AO544" s="8"/>
      <c r="AP544" s="8"/>
      <c r="AQ544" s="8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9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>
      <c r="A545" s="2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5"/>
      <c r="AD545" s="5"/>
      <c r="AE545" s="5"/>
      <c r="AF545" s="5"/>
      <c r="AG545" s="6"/>
      <c r="AH545" s="6"/>
      <c r="AI545" s="6"/>
      <c r="AJ545" s="7"/>
      <c r="AK545" s="7"/>
      <c r="AL545" s="6"/>
      <c r="AM545" s="6"/>
      <c r="AN545" s="8"/>
      <c r="AO545" s="8"/>
      <c r="AP545" s="8"/>
      <c r="AQ545" s="8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9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>
      <c r="A546" s="2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5"/>
      <c r="AD546" s="5"/>
      <c r="AE546" s="5"/>
      <c r="AF546" s="5"/>
      <c r="AG546" s="6"/>
      <c r="AH546" s="6"/>
      <c r="AI546" s="6"/>
      <c r="AJ546" s="7"/>
      <c r="AK546" s="7"/>
      <c r="AL546" s="6"/>
      <c r="AM546" s="6"/>
      <c r="AN546" s="8"/>
      <c r="AO546" s="8"/>
      <c r="AP546" s="8"/>
      <c r="AQ546" s="8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9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>
      <c r="A547" s="2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5"/>
      <c r="AD547" s="5"/>
      <c r="AE547" s="5"/>
      <c r="AF547" s="5"/>
      <c r="AG547" s="6"/>
      <c r="AH547" s="6"/>
      <c r="AI547" s="6"/>
      <c r="AJ547" s="7"/>
      <c r="AK547" s="7"/>
      <c r="AL547" s="6"/>
      <c r="AM547" s="6"/>
      <c r="AN547" s="8"/>
      <c r="AO547" s="8"/>
      <c r="AP547" s="8"/>
      <c r="AQ547" s="8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9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>
      <c r="A548" s="2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5"/>
      <c r="AD548" s="5"/>
      <c r="AE548" s="5"/>
      <c r="AF548" s="5"/>
      <c r="AG548" s="6"/>
      <c r="AH548" s="6"/>
      <c r="AI548" s="6"/>
      <c r="AJ548" s="7"/>
      <c r="AK548" s="7"/>
      <c r="AL548" s="6"/>
      <c r="AM548" s="6"/>
      <c r="AN548" s="8"/>
      <c r="AO548" s="8"/>
      <c r="AP548" s="8"/>
      <c r="AQ548" s="8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9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>
      <c r="A549" s="2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5"/>
      <c r="AD549" s="5"/>
      <c r="AE549" s="5"/>
      <c r="AF549" s="5"/>
      <c r="AG549" s="6"/>
      <c r="AH549" s="6"/>
      <c r="AI549" s="6"/>
      <c r="AJ549" s="7"/>
      <c r="AK549" s="7"/>
      <c r="AL549" s="6"/>
      <c r="AM549" s="6"/>
      <c r="AN549" s="8"/>
      <c r="AO549" s="8"/>
      <c r="AP549" s="8"/>
      <c r="AQ549" s="8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9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>
      <c r="A550" s="2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5"/>
      <c r="AD550" s="5"/>
      <c r="AE550" s="5"/>
      <c r="AF550" s="5"/>
      <c r="AG550" s="6"/>
      <c r="AH550" s="6"/>
      <c r="AI550" s="6"/>
      <c r="AJ550" s="7"/>
      <c r="AK550" s="7"/>
      <c r="AL550" s="6"/>
      <c r="AM550" s="6"/>
      <c r="AN550" s="8"/>
      <c r="AO550" s="8"/>
      <c r="AP550" s="8"/>
      <c r="AQ550" s="8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9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>
      <c r="A551" s="2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5"/>
      <c r="AD551" s="5"/>
      <c r="AE551" s="5"/>
      <c r="AF551" s="5"/>
      <c r="AG551" s="6"/>
      <c r="AH551" s="6"/>
      <c r="AI551" s="6"/>
      <c r="AJ551" s="7"/>
      <c r="AK551" s="7"/>
      <c r="AL551" s="6"/>
      <c r="AM551" s="6"/>
      <c r="AN551" s="8"/>
      <c r="AO551" s="8"/>
      <c r="AP551" s="8"/>
      <c r="AQ551" s="8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9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>
      <c r="A552" s="2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5"/>
      <c r="AD552" s="5"/>
      <c r="AE552" s="5"/>
      <c r="AF552" s="5"/>
      <c r="AG552" s="6"/>
      <c r="AH552" s="6"/>
      <c r="AI552" s="6"/>
      <c r="AJ552" s="7"/>
      <c r="AK552" s="7"/>
      <c r="AL552" s="6"/>
      <c r="AM552" s="6"/>
      <c r="AN552" s="8"/>
      <c r="AO552" s="8"/>
      <c r="AP552" s="8"/>
      <c r="AQ552" s="8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9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>
      <c r="A553" s="2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5"/>
      <c r="AD553" s="5"/>
      <c r="AE553" s="5"/>
      <c r="AF553" s="5"/>
      <c r="AG553" s="6"/>
      <c r="AH553" s="6"/>
      <c r="AI553" s="6"/>
      <c r="AJ553" s="7"/>
      <c r="AK553" s="7"/>
      <c r="AL553" s="6"/>
      <c r="AM553" s="6"/>
      <c r="AN553" s="8"/>
      <c r="AO553" s="8"/>
      <c r="AP553" s="8"/>
      <c r="AQ553" s="8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9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>
      <c r="A554" s="2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5"/>
      <c r="AD554" s="5"/>
      <c r="AE554" s="5"/>
      <c r="AF554" s="5"/>
      <c r="AG554" s="6"/>
      <c r="AH554" s="6"/>
      <c r="AI554" s="6"/>
      <c r="AJ554" s="7"/>
      <c r="AK554" s="7"/>
      <c r="AL554" s="6"/>
      <c r="AM554" s="6"/>
      <c r="AN554" s="8"/>
      <c r="AO554" s="8"/>
      <c r="AP554" s="8"/>
      <c r="AQ554" s="8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9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>
      <c r="A555" s="2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5"/>
      <c r="AD555" s="5"/>
      <c r="AE555" s="5"/>
      <c r="AF555" s="5"/>
      <c r="AG555" s="6"/>
      <c r="AH555" s="6"/>
      <c r="AI555" s="6"/>
      <c r="AJ555" s="7"/>
      <c r="AK555" s="7"/>
      <c r="AL555" s="6"/>
      <c r="AM555" s="6"/>
      <c r="AN555" s="8"/>
      <c r="AO555" s="8"/>
      <c r="AP555" s="8"/>
      <c r="AQ555" s="8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9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>
      <c r="A556" s="2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5"/>
      <c r="AD556" s="5"/>
      <c r="AE556" s="5"/>
      <c r="AF556" s="5"/>
      <c r="AG556" s="6"/>
      <c r="AH556" s="6"/>
      <c r="AI556" s="6"/>
      <c r="AJ556" s="7"/>
      <c r="AK556" s="7"/>
      <c r="AL556" s="6"/>
      <c r="AM556" s="6"/>
      <c r="AN556" s="8"/>
      <c r="AO556" s="8"/>
      <c r="AP556" s="8"/>
      <c r="AQ556" s="8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9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>
      <c r="A557" s="2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5"/>
      <c r="AD557" s="5"/>
      <c r="AE557" s="5"/>
      <c r="AF557" s="5"/>
      <c r="AG557" s="6"/>
      <c r="AH557" s="6"/>
      <c r="AI557" s="6"/>
      <c r="AJ557" s="7"/>
      <c r="AK557" s="7"/>
      <c r="AL557" s="6"/>
      <c r="AM557" s="6"/>
      <c r="AN557" s="8"/>
      <c r="AO557" s="8"/>
      <c r="AP557" s="8"/>
      <c r="AQ557" s="8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9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>
      <c r="A558" s="2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5"/>
      <c r="AD558" s="5"/>
      <c r="AE558" s="5"/>
      <c r="AF558" s="5"/>
      <c r="AG558" s="6"/>
      <c r="AH558" s="6"/>
      <c r="AI558" s="6"/>
      <c r="AJ558" s="7"/>
      <c r="AK558" s="7"/>
      <c r="AL558" s="6"/>
      <c r="AM558" s="6"/>
      <c r="AN558" s="8"/>
      <c r="AO558" s="8"/>
      <c r="AP558" s="8"/>
      <c r="AQ558" s="8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9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>
      <c r="A559" s="2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5"/>
      <c r="AD559" s="5"/>
      <c r="AE559" s="5"/>
      <c r="AF559" s="5"/>
      <c r="AG559" s="6"/>
      <c r="AH559" s="6"/>
      <c r="AI559" s="6"/>
      <c r="AJ559" s="7"/>
      <c r="AK559" s="7"/>
      <c r="AL559" s="6"/>
      <c r="AM559" s="6"/>
      <c r="AN559" s="8"/>
      <c r="AO559" s="8"/>
      <c r="AP559" s="8"/>
      <c r="AQ559" s="8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9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>
      <c r="A560" s="2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5"/>
      <c r="AD560" s="5"/>
      <c r="AE560" s="5"/>
      <c r="AF560" s="5"/>
      <c r="AG560" s="6"/>
      <c r="AH560" s="6"/>
      <c r="AI560" s="6"/>
      <c r="AJ560" s="7"/>
      <c r="AK560" s="7"/>
      <c r="AL560" s="6"/>
      <c r="AM560" s="6"/>
      <c r="AN560" s="8"/>
      <c r="AO560" s="8"/>
      <c r="AP560" s="8"/>
      <c r="AQ560" s="8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9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>
      <c r="A561" s="2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5"/>
      <c r="AD561" s="5"/>
      <c r="AE561" s="5"/>
      <c r="AF561" s="5"/>
      <c r="AG561" s="6"/>
      <c r="AH561" s="6"/>
      <c r="AI561" s="6"/>
      <c r="AJ561" s="7"/>
      <c r="AK561" s="7"/>
      <c r="AL561" s="6"/>
      <c r="AM561" s="6"/>
      <c r="AN561" s="8"/>
      <c r="AO561" s="8"/>
      <c r="AP561" s="8"/>
      <c r="AQ561" s="8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9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>
      <c r="A562" s="2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5"/>
      <c r="AD562" s="5"/>
      <c r="AE562" s="5"/>
      <c r="AF562" s="5"/>
      <c r="AG562" s="6"/>
      <c r="AH562" s="6"/>
      <c r="AI562" s="6"/>
      <c r="AJ562" s="7"/>
      <c r="AK562" s="7"/>
      <c r="AL562" s="6"/>
      <c r="AM562" s="6"/>
      <c r="AN562" s="8"/>
      <c r="AO562" s="8"/>
      <c r="AP562" s="8"/>
      <c r="AQ562" s="8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9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>
      <c r="A563" s="2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5"/>
      <c r="AD563" s="5"/>
      <c r="AE563" s="5"/>
      <c r="AF563" s="5"/>
      <c r="AG563" s="6"/>
      <c r="AH563" s="6"/>
      <c r="AI563" s="6"/>
      <c r="AJ563" s="7"/>
      <c r="AK563" s="7"/>
      <c r="AL563" s="6"/>
      <c r="AM563" s="6"/>
      <c r="AN563" s="8"/>
      <c r="AO563" s="8"/>
      <c r="AP563" s="8"/>
      <c r="AQ563" s="8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9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>
      <c r="A564" s="2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5"/>
      <c r="AD564" s="5"/>
      <c r="AE564" s="5"/>
      <c r="AF564" s="5"/>
      <c r="AG564" s="6"/>
      <c r="AH564" s="6"/>
      <c r="AI564" s="6"/>
      <c r="AJ564" s="7"/>
      <c r="AK564" s="7"/>
      <c r="AL564" s="6"/>
      <c r="AM564" s="6"/>
      <c r="AN564" s="8"/>
      <c r="AO564" s="8"/>
      <c r="AP564" s="8"/>
      <c r="AQ564" s="8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9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>
      <c r="A565" s="2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5"/>
      <c r="AD565" s="5"/>
      <c r="AE565" s="5"/>
      <c r="AF565" s="5"/>
      <c r="AG565" s="6"/>
      <c r="AH565" s="6"/>
      <c r="AI565" s="6"/>
      <c r="AJ565" s="7"/>
      <c r="AK565" s="7"/>
      <c r="AL565" s="6"/>
      <c r="AM565" s="6"/>
      <c r="AN565" s="8"/>
      <c r="AO565" s="8"/>
      <c r="AP565" s="8"/>
      <c r="AQ565" s="8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9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>
      <c r="A566" s="2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5"/>
      <c r="AD566" s="5"/>
      <c r="AE566" s="5"/>
      <c r="AF566" s="5"/>
      <c r="AG566" s="6"/>
      <c r="AH566" s="6"/>
      <c r="AI566" s="6"/>
      <c r="AJ566" s="7"/>
      <c r="AK566" s="7"/>
      <c r="AL566" s="6"/>
      <c r="AM566" s="6"/>
      <c r="AN566" s="8"/>
      <c r="AO566" s="8"/>
      <c r="AP566" s="8"/>
      <c r="AQ566" s="8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9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>
      <c r="A567" s="2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5"/>
      <c r="AD567" s="5"/>
      <c r="AE567" s="5"/>
      <c r="AF567" s="5"/>
      <c r="AG567" s="6"/>
      <c r="AH567" s="6"/>
      <c r="AI567" s="6"/>
      <c r="AJ567" s="7"/>
      <c r="AK567" s="7"/>
      <c r="AL567" s="6"/>
      <c r="AM567" s="6"/>
      <c r="AN567" s="8"/>
      <c r="AO567" s="8"/>
      <c r="AP567" s="8"/>
      <c r="AQ567" s="8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9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>
      <c r="A568" s="2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5"/>
      <c r="AD568" s="5"/>
      <c r="AE568" s="5"/>
      <c r="AF568" s="5"/>
      <c r="AG568" s="6"/>
      <c r="AH568" s="6"/>
      <c r="AI568" s="6"/>
      <c r="AJ568" s="7"/>
      <c r="AK568" s="7"/>
      <c r="AL568" s="6"/>
      <c r="AM568" s="6"/>
      <c r="AN568" s="8"/>
      <c r="AO568" s="8"/>
      <c r="AP568" s="8"/>
      <c r="AQ568" s="8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9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>
      <c r="A569" s="2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5"/>
      <c r="AD569" s="5"/>
      <c r="AE569" s="5"/>
      <c r="AF569" s="5"/>
      <c r="AG569" s="6"/>
      <c r="AH569" s="6"/>
      <c r="AI569" s="6"/>
      <c r="AJ569" s="7"/>
      <c r="AK569" s="7"/>
      <c r="AL569" s="6"/>
      <c r="AM569" s="6"/>
      <c r="AN569" s="8"/>
      <c r="AO569" s="8"/>
      <c r="AP569" s="8"/>
      <c r="AQ569" s="8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9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>
      <c r="A570" s="2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5"/>
      <c r="AD570" s="5"/>
      <c r="AE570" s="5"/>
      <c r="AF570" s="5"/>
      <c r="AG570" s="6"/>
      <c r="AH570" s="6"/>
      <c r="AI570" s="6"/>
      <c r="AJ570" s="7"/>
      <c r="AK570" s="7"/>
      <c r="AL570" s="6"/>
      <c r="AM570" s="6"/>
      <c r="AN570" s="8"/>
      <c r="AO570" s="8"/>
      <c r="AP570" s="8"/>
      <c r="AQ570" s="8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9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>
      <c r="A571" s="2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5"/>
      <c r="AD571" s="5"/>
      <c r="AE571" s="5"/>
      <c r="AF571" s="5"/>
      <c r="AG571" s="6"/>
      <c r="AH571" s="6"/>
      <c r="AI571" s="6"/>
      <c r="AJ571" s="7"/>
      <c r="AK571" s="7"/>
      <c r="AL571" s="6"/>
      <c r="AM571" s="6"/>
      <c r="AN571" s="8"/>
      <c r="AO571" s="8"/>
      <c r="AP571" s="8"/>
      <c r="AQ571" s="8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9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>
      <c r="A572" s="2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5"/>
      <c r="AD572" s="5"/>
      <c r="AE572" s="5"/>
      <c r="AF572" s="5"/>
      <c r="AG572" s="6"/>
      <c r="AH572" s="6"/>
      <c r="AI572" s="6"/>
      <c r="AJ572" s="7"/>
      <c r="AK572" s="7"/>
      <c r="AL572" s="6"/>
      <c r="AM572" s="6"/>
      <c r="AN572" s="8"/>
      <c r="AO572" s="8"/>
      <c r="AP572" s="8"/>
      <c r="AQ572" s="8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9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>
      <c r="A573" s="2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5"/>
      <c r="AD573" s="5"/>
      <c r="AE573" s="5"/>
      <c r="AF573" s="5"/>
      <c r="AG573" s="6"/>
      <c r="AH573" s="6"/>
      <c r="AI573" s="6"/>
      <c r="AJ573" s="7"/>
      <c r="AK573" s="7"/>
      <c r="AL573" s="6"/>
      <c r="AM573" s="6"/>
      <c r="AN573" s="8"/>
      <c r="AO573" s="8"/>
      <c r="AP573" s="8"/>
      <c r="AQ573" s="8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9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>
      <c r="A574" s="2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5"/>
      <c r="AD574" s="5"/>
      <c r="AE574" s="5"/>
      <c r="AF574" s="5"/>
      <c r="AG574" s="6"/>
      <c r="AH574" s="6"/>
      <c r="AI574" s="6"/>
      <c r="AJ574" s="7"/>
      <c r="AK574" s="7"/>
      <c r="AL574" s="6"/>
      <c r="AM574" s="6"/>
      <c r="AN574" s="8"/>
      <c r="AO574" s="8"/>
      <c r="AP574" s="8"/>
      <c r="AQ574" s="8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9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>
      <c r="A575" s="2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5"/>
      <c r="AD575" s="5"/>
      <c r="AE575" s="5"/>
      <c r="AF575" s="5"/>
      <c r="AG575" s="6"/>
      <c r="AH575" s="6"/>
      <c r="AI575" s="6"/>
      <c r="AJ575" s="7"/>
      <c r="AK575" s="7"/>
      <c r="AL575" s="6"/>
      <c r="AM575" s="6"/>
      <c r="AN575" s="8"/>
      <c r="AO575" s="8"/>
      <c r="AP575" s="8"/>
      <c r="AQ575" s="8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9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>
      <c r="A576" s="2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5"/>
      <c r="AD576" s="5"/>
      <c r="AE576" s="5"/>
      <c r="AF576" s="5"/>
      <c r="AG576" s="6"/>
      <c r="AH576" s="6"/>
      <c r="AI576" s="6"/>
      <c r="AJ576" s="7"/>
      <c r="AK576" s="7"/>
      <c r="AL576" s="6"/>
      <c r="AM576" s="6"/>
      <c r="AN576" s="8"/>
      <c r="AO576" s="8"/>
      <c r="AP576" s="8"/>
      <c r="AQ576" s="8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9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>
      <c r="A577" s="2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5"/>
      <c r="AD577" s="5"/>
      <c r="AE577" s="5"/>
      <c r="AF577" s="5"/>
      <c r="AG577" s="6"/>
      <c r="AH577" s="6"/>
      <c r="AI577" s="6"/>
      <c r="AJ577" s="7"/>
      <c r="AK577" s="7"/>
      <c r="AL577" s="6"/>
      <c r="AM577" s="6"/>
      <c r="AN577" s="8"/>
      <c r="AO577" s="8"/>
      <c r="AP577" s="8"/>
      <c r="AQ577" s="8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9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>
      <c r="A578" s="2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5"/>
      <c r="AD578" s="5"/>
      <c r="AE578" s="5"/>
      <c r="AF578" s="5"/>
      <c r="AG578" s="6"/>
      <c r="AH578" s="6"/>
      <c r="AI578" s="6"/>
      <c r="AJ578" s="7"/>
      <c r="AK578" s="7"/>
      <c r="AL578" s="6"/>
      <c r="AM578" s="6"/>
      <c r="AN578" s="8"/>
      <c r="AO578" s="8"/>
      <c r="AP578" s="8"/>
      <c r="AQ578" s="8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9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>
      <c r="A579" s="2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5"/>
      <c r="AD579" s="5"/>
      <c r="AE579" s="5"/>
      <c r="AF579" s="5"/>
      <c r="AG579" s="6"/>
      <c r="AH579" s="6"/>
      <c r="AI579" s="6"/>
      <c r="AJ579" s="7"/>
      <c r="AK579" s="7"/>
      <c r="AL579" s="6"/>
      <c r="AM579" s="6"/>
      <c r="AN579" s="8"/>
      <c r="AO579" s="8"/>
      <c r="AP579" s="8"/>
      <c r="AQ579" s="8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9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>
      <c r="A580" s="2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5"/>
      <c r="AD580" s="5"/>
      <c r="AE580" s="5"/>
      <c r="AF580" s="5"/>
      <c r="AG580" s="6"/>
      <c r="AH580" s="6"/>
      <c r="AI580" s="6"/>
      <c r="AJ580" s="7"/>
      <c r="AK580" s="7"/>
      <c r="AL580" s="6"/>
      <c r="AM580" s="6"/>
      <c r="AN580" s="8"/>
      <c r="AO580" s="8"/>
      <c r="AP580" s="8"/>
      <c r="AQ580" s="8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9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>
      <c r="A581" s="2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5"/>
      <c r="AD581" s="5"/>
      <c r="AE581" s="5"/>
      <c r="AF581" s="5"/>
      <c r="AG581" s="6"/>
      <c r="AH581" s="6"/>
      <c r="AI581" s="6"/>
      <c r="AJ581" s="7"/>
      <c r="AK581" s="7"/>
      <c r="AL581" s="6"/>
      <c r="AM581" s="6"/>
      <c r="AN581" s="8"/>
      <c r="AO581" s="8"/>
      <c r="AP581" s="8"/>
      <c r="AQ581" s="8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9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>
      <c r="A582" s="2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5"/>
      <c r="AD582" s="5"/>
      <c r="AE582" s="5"/>
      <c r="AF582" s="5"/>
      <c r="AG582" s="6"/>
      <c r="AH582" s="6"/>
      <c r="AI582" s="6"/>
      <c r="AJ582" s="7"/>
      <c r="AK582" s="7"/>
      <c r="AL582" s="6"/>
      <c r="AM582" s="6"/>
      <c r="AN582" s="8"/>
      <c r="AO582" s="8"/>
      <c r="AP582" s="8"/>
      <c r="AQ582" s="8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9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>
      <c r="A583" s="2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5"/>
      <c r="AD583" s="5"/>
      <c r="AE583" s="5"/>
      <c r="AF583" s="5"/>
      <c r="AG583" s="6"/>
      <c r="AH583" s="6"/>
      <c r="AI583" s="6"/>
      <c r="AJ583" s="7"/>
      <c r="AK583" s="7"/>
      <c r="AL583" s="6"/>
      <c r="AM583" s="6"/>
      <c r="AN583" s="8"/>
      <c r="AO583" s="8"/>
      <c r="AP583" s="8"/>
      <c r="AQ583" s="8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9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>
      <c r="A584" s="2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5"/>
      <c r="AD584" s="5"/>
      <c r="AE584" s="5"/>
      <c r="AF584" s="5"/>
      <c r="AG584" s="6"/>
      <c r="AH584" s="6"/>
      <c r="AI584" s="6"/>
      <c r="AJ584" s="7"/>
      <c r="AK584" s="7"/>
      <c r="AL584" s="6"/>
      <c r="AM584" s="6"/>
      <c r="AN584" s="8"/>
      <c r="AO584" s="8"/>
      <c r="AP584" s="8"/>
      <c r="AQ584" s="8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9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>
      <c r="A585" s="2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5"/>
      <c r="AD585" s="5"/>
      <c r="AE585" s="5"/>
      <c r="AF585" s="5"/>
      <c r="AG585" s="6"/>
      <c r="AH585" s="6"/>
      <c r="AI585" s="6"/>
      <c r="AJ585" s="7"/>
      <c r="AK585" s="7"/>
      <c r="AL585" s="6"/>
      <c r="AM585" s="6"/>
      <c r="AN585" s="8"/>
      <c r="AO585" s="8"/>
      <c r="AP585" s="8"/>
      <c r="AQ585" s="8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9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>
      <c r="A586" s="2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5"/>
      <c r="AD586" s="5"/>
      <c r="AE586" s="5"/>
      <c r="AF586" s="5"/>
      <c r="AG586" s="6"/>
      <c r="AH586" s="6"/>
      <c r="AI586" s="6"/>
      <c r="AJ586" s="7"/>
      <c r="AK586" s="7"/>
      <c r="AL586" s="6"/>
      <c r="AM586" s="6"/>
      <c r="AN586" s="8"/>
      <c r="AO586" s="8"/>
      <c r="AP586" s="8"/>
      <c r="AQ586" s="8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9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>
      <c r="A587" s="2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5"/>
      <c r="AD587" s="5"/>
      <c r="AE587" s="5"/>
      <c r="AF587" s="5"/>
      <c r="AG587" s="6"/>
      <c r="AH587" s="6"/>
      <c r="AI587" s="6"/>
      <c r="AJ587" s="7"/>
      <c r="AK587" s="7"/>
      <c r="AL587" s="6"/>
      <c r="AM587" s="6"/>
      <c r="AN587" s="8"/>
      <c r="AO587" s="8"/>
      <c r="AP587" s="8"/>
      <c r="AQ587" s="8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9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>
      <c r="A588" s="2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5"/>
      <c r="AD588" s="5"/>
      <c r="AE588" s="5"/>
      <c r="AF588" s="5"/>
      <c r="AG588" s="6"/>
      <c r="AH588" s="6"/>
      <c r="AI588" s="6"/>
      <c r="AJ588" s="7"/>
      <c r="AK588" s="7"/>
      <c r="AL588" s="6"/>
      <c r="AM588" s="6"/>
      <c r="AN588" s="8"/>
      <c r="AO588" s="8"/>
      <c r="AP588" s="8"/>
      <c r="AQ588" s="8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9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>
      <c r="A589" s="2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5"/>
      <c r="AD589" s="5"/>
      <c r="AE589" s="5"/>
      <c r="AF589" s="5"/>
      <c r="AG589" s="6"/>
      <c r="AH589" s="6"/>
      <c r="AI589" s="6"/>
      <c r="AJ589" s="7"/>
      <c r="AK589" s="7"/>
      <c r="AL589" s="6"/>
      <c r="AM589" s="6"/>
      <c r="AN589" s="8"/>
      <c r="AO589" s="8"/>
      <c r="AP589" s="8"/>
      <c r="AQ589" s="8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9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>
      <c r="A590" s="2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5"/>
      <c r="AD590" s="5"/>
      <c r="AE590" s="5"/>
      <c r="AF590" s="5"/>
      <c r="AG590" s="6"/>
      <c r="AH590" s="6"/>
      <c r="AI590" s="6"/>
      <c r="AJ590" s="7"/>
      <c r="AK590" s="7"/>
      <c r="AL590" s="6"/>
      <c r="AM590" s="6"/>
      <c r="AN590" s="8"/>
      <c r="AO590" s="8"/>
      <c r="AP590" s="8"/>
      <c r="AQ590" s="8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9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>
      <c r="A591" s="2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5"/>
      <c r="AD591" s="5"/>
      <c r="AE591" s="5"/>
      <c r="AF591" s="5"/>
      <c r="AG591" s="6"/>
      <c r="AH591" s="6"/>
      <c r="AI591" s="6"/>
      <c r="AJ591" s="7"/>
      <c r="AK591" s="7"/>
      <c r="AL591" s="6"/>
      <c r="AM591" s="6"/>
      <c r="AN591" s="8"/>
      <c r="AO591" s="8"/>
      <c r="AP591" s="8"/>
      <c r="AQ591" s="8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9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>
      <c r="A592" s="2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5"/>
      <c r="AD592" s="5"/>
      <c r="AE592" s="5"/>
      <c r="AF592" s="5"/>
      <c r="AG592" s="6"/>
      <c r="AH592" s="6"/>
      <c r="AI592" s="6"/>
      <c r="AJ592" s="7"/>
      <c r="AK592" s="7"/>
      <c r="AL592" s="6"/>
      <c r="AM592" s="6"/>
      <c r="AN592" s="8"/>
      <c r="AO592" s="8"/>
      <c r="AP592" s="8"/>
      <c r="AQ592" s="8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9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>
      <c r="A593" s="2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5"/>
      <c r="AD593" s="5"/>
      <c r="AE593" s="5"/>
      <c r="AF593" s="5"/>
      <c r="AG593" s="6"/>
      <c r="AH593" s="6"/>
      <c r="AI593" s="6"/>
      <c r="AJ593" s="7"/>
      <c r="AK593" s="7"/>
      <c r="AL593" s="6"/>
      <c r="AM593" s="6"/>
      <c r="AN593" s="8"/>
      <c r="AO593" s="8"/>
      <c r="AP593" s="8"/>
      <c r="AQ593" s="8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9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>
      <c r="A594" s="2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5"/>
      <c r="AD594" s="5"/>
      <c r="AE594" s="5"/>
      <c r="AF594" s="5"/>
      <c r="AG594" s="6"/>
      <c r="AH594" s="6"/>
      <c r="AI594" s="6"/>
      <c r="AJ594" s="7"/>
      <c r="AK594" s="7"/>
      <c r="AL594" s="6"/>
      <c r="AM594" s="6"/>
      <c r="AN594" s="8"/>
      <c r="AO594" s="8"/>
      <c r="AP594" s="8"/>
      <c r="AQ594" s="8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9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>
      <c r="A595" s="2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5"/>
      <c r="AD595" s="5"/>
      <c r="AE595" s="5"/>
      <c r="AF595" s="5"/>
      <c r="AG595" s="6"/>
      <c r="AH595" s="6"/>
      <c r="AI595" s="6"/>
      <c r="AJ595" s="7"/>
      <c r="AK595" s="7"/>
      <c r="AL595" s="6"/>
      <c r="AM595" s="6"/>
      <c r="AN595" s="8"/>
      <c r="AO595" s="8"/>
      <c r="AP595" s="8"/>
      <c r="AQ595" s="8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9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>
      <c r="A596" s="2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5"/>
      <c r="AD596" s="5"/>
      <c r="AE596" s="5"/>
      <c r="AF596" s="5"/>
      <c r="AG596" s="6"/>
      <c r="AH596" s="6"/>
      <c r="AI596" s="6"/>
      <c r="AJ596" s="7"/>
      <c r="AK596" s="7"/>
      <c r="AL596" s="6"/>
      <c r="AM596" s="6"/>
      <c r="AN596" s="8"/>
      <c r="AO596" s="8"/>
      <c r="AP596" s="8"/>
      <c r="AQ596" s="8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9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>
      <c r="A597" s="2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5"/>
      <c r="AD597" s="5"/>
      <c r="AE597" s="5"/>
      <c r="AF597" s="5"/>
      <c r="AG597" s="6"/>
      <c r="AH597" s="6"/>
      <c r="AI597" s="6"/>
      <c r="AJ597" s="7"/>
      <c r="AK597" s="7"/>
      <c r="AL597" s="6"/>
      <c r="AM597" s="6"/>
      <c r="AN597" s="8"/>
      <c r="AO597" s="8"/>
      <c r="AP597" s="8"/>
      <c r="AQ597" s="8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9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>
      <c r="A598" s="2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5"/>
      <c r="AD598" s="5"/>
      <c r="AE598" s="5"/>
      <c r="AF598" s="5"/>
      <c r="AG598" s="6"/>
      <c r="AH598" s="6"/>
      <c r="AI598" s="6"/>
      <c r="AJ598" s="7"/>
      <c r="AK598" s="7"/>
      <c r="AL598" s="6"/>
      <c r="AM598" s="6"/>
      <c r="AN598" s="8"/>
      <c r="AO598" s="8"/>
      <c r="AP598" s="8"/>
      <c r="AQ598" s="8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9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>
      <c r="A599" s="2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5"/>
      <c r="AD599" s="5"/>
      <c r="AE599" s="5"/>
      <c r="AF599" s="5"/>
      <c r="AG599" s="6"/>
      <c r="AH599" s="6"/>
      <c r="AI599" s="6"/>
      <c r="AJ599" s="7"/>
      <c r="AK599" s="7"/>
      <c r="AL599" s="6"/>
      <c r="AM599" s="6"/>
      <c r="AN599" s="8"/>
      <c r="AO599" s="8"/>
      <c r="AP599" s="8"/>
      <c r="AQ599" s="8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9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>
      <c r="A600" s="2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5"/>
      <c r="AD600" s="5"/>
      <c r="AE600" s="5"/>
      <c r="AF600" s="5"/>
      <c r="AG600" s="6"/>
      <c r="AH600" s="6"/>
      <c r="AI600" s="6"/>
      <c r="AJ600" s="7"/>
      <c r="AK600" s="7"/>
      <c r="AL600" s="6"/>
      <c r="AM600" s="6"/>
      <c r="AN600" s="8"/>
      <c r="AO600" s="8"/>
      <c r="AP600" s="8"/>
      <c r="AQ600" s="8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9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>
      <c r="A601" s="2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5"/>
      <c r="AD601" s="5"/>
      <c r="AE601" s="5"/>
      <c r="AF601" s="5"/>
      <c r="AG601" s="6"/>
      <c r="AH601" s="6"/>
      <c r="AI601" s="6"/>
      <c r="AJ601" s="7"/>
      <c r="AK601" s="7"/>
      <c r="AL601" s="6"/>
      <c r="AM601" s="6"/>
      <c r="AN601" s="8"/>
      <c r="AO601" s="8"/>
      <c r="AP601" s="8"/>
      <c r="AQ601" s="8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9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>
      <c r="A602" s="2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5"/>
      <c r="AD602" s="5"/>
      <c r="AE602" s="5"/>
      <c r="AF602" s="5"/>
      <c r="AG602" s="6"/>
      <c r="AH602" s="6"/>
      <c r="AI602" s="6"/>
      <c r="AJ602" s="7"/>
      <c r="AK602" s="7"/>
      <c r="AL602" s="6"/>
      <c r="AM602" s="6"/>
      <c r="AN602" s="8"/>
      <c r="AO602" s="8"/>
      <c r="AP602" s="8"/>
      <c r="AQ602" s="8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9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>
      <c r="A603" s="2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5"/>
      <c r="AD603" s="5"/>
      <c r="AE603" s="5"/>
      <c r="AF603" s="5"/>
      <c r="AG603" s="6"/>
      <c r="AH603" s="6"/>
      <c r="AI603" s="6"/>
      <c r="AJ603" s="7"/>
      <c r="AK603" s="7"/>
      <c r="AL603" s="6"/>
      <c r="AM603" s="6"/>
      <c r="AN603" s="8"/>
      <c r="AO603" s="8"/>
      <c r="AP603" s="8"/>
      <c r="AQ603" s="8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9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>
      <c r="A604" s="2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5"/>
      <c r="AD604" s="5"/>
      <c r="AE604" s="5"/>
      <c r="AF604" s="5"/>
      <c r="AG604" s="6"/>
      <c r="AH604" s="6"/>
      <c r="AI604" s="6"/>
      <c r="AJ604" s="7"/>
      <c r="AK604" s="7"/>
      <c r="AL604" s="6"/>
      <c r="AM604" s="6"/>
      <c r="AN604" s="8"/>
      <c r="AO604" s="8"/>
      <c r="AP604" s="8"/>
      <c r="AQ604" s="8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9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>
      <c r="A605" s="2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5"/>
      <c r="AD605" s="5"/>
      <c r="AE605" s="5"/>
      <c r="AF605" s="5"/>
      <c r="AG605" s="6"/>
      <c r="AH605" s="6"/>
      <c r="AI605" s="6"/>
      <c r="AJ605" s="7"/>
      <c r="AK605" s="7"/>
      <c r="AL605" s="6"/>
      <c r="AM605" s="6"/>
      <c r="AN605" s="8"/>
      <c r="AO605" s="8"/>
      <c r="AP605" s="8"/>
      <c r="AQ605" s="8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9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>
      <c r="A606" s="2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5"/>
      <c r="AD606" s="5"/>
      <c r="AE606" s="5"/>
      <c r="AF606" s="5"/>
      <c r="AG606" s="6"/>
      <c r="AH606" s="6"/>
      <c r="AI606" s="6"/>
      <c r="AJ606" s="7"/>
      <c r="AK606" s="7"/>
      <c r="AL606" s="6"/>
      <c r="AM606" s="6"/>
      <c r="AN606" s="8"/>
      <c r="AO606" s="8"/>
      <c r="AP606" s="8"/>
      <c r="AQ606" s="8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9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>
      <c r="A607" s="2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5"/>
      <c r="AD607" s="5"/>
      <c r="AE607" s="5"/>
      <c r="AF607" s="5"/>
      <c r="AG607" s="6"/>
      <c r="AH607" s="6"/>
      <c r="AI607" s="6"/>
      <c r="AJ607" s="7"/>
      <c r="AK607" s="7"/>
      <c r="AL607" s="6"/>
      <c r="AM607" s="6"/>
      <c r="AN607" s="8"/>
      <c r="AO607" s="8"/>
      <c r="AP607" s="8"/>
      <c r="AQ607" s="8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9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>
      <c r="A608" s="2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5"/>
      <c r="AD608" s="5"/>
      <c r="AE608" s="5"/>
      <c r="AF608" s="5"/>
      <c r="AG608" s="6"/>
      <c r="AH608" s="6"/>
      <c r="AI608" s="6"/>
      <c r="AJ608" s="7"/>
      <c r="AK608" s="7"/>
      <c r="AL608" s="6"/>
      <c r="AM608" s="6"/>
      <c r="AN608" s="8"/>
      <c r="AO608" s="8"/>
      <c r="AP608" s="8"/>
      <c r="AQ608" s="8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9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>
      <c r="A609" s="2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5"/>
      <c r="AD609" s="5"/>
      <c r="AE609" s="5"/>
      <c r="AF609" s="5"/>
      <c r="AG609" s="6"/>
      <c r="AH609" s="6"/>
      <c r="AI609" s="6"/>
      <c r="AJ609" s="7"/>
      <c r="AK609" s="7"/>
      <c r="AL609" s="6"/>
      <c r="AM609" s="6"/>
      <c r="AN609" s="8"/>
      <c r="AO609" s="8"/>
      <c r="AP609" s="8"/>
      <c r="AQ609" s="8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9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>
      <c r="A610" s="2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5"/>
      <c r="AD610" s="5"/>
      <c r="AE610" s="5"/>
      <c r="AF610" s="5"/>
      <c r="AG610" s="6"/>
      <c r="AH610" s="6"/>
      <c r="AI610" s="6"/>
      <c r="AJ610" s="7"/>
      <c r="AK610" s="7"/>
      <c r="AL610" s="6"/>
      <c r="AM610" s="6"/>
      <c r="AN610" s="8"/>
      <c r="AO610" s="8"/>
      <c r="AP610" s="8"/>
      <c r="AQ610" s="8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9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>
      <c r="A611" s="2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5"/>
      <c r="AD611" s="5"/>
      <c r="AE611" s="5"/>
      <c r="AF611" s="5"/>
      <c r="AG611" s="6"/>
      <c r="AH611" s="6"/>
      <c r="AI611" s="6"/>
      <c r="AJ611" s="7"/>
      <c r="AK611" s="7"/>
      <c r="AL611" s="6"/>
      <c r="AM611" s="6"/>
      <c r="AN611" s="8"/>
      <c r="AO611" s="8"/>
      <c r="AP611" s="8"/>
      <c r="AQ611" s="8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9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>
      <c r="A612" s="2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5"/>
      <c r="AD612" s="5"/>
      <c r="AE612" s="5"/>
      <c r="AF612" s="5"/>
      <c r="AG612" s="6"/>
      <c r="AH612" s="6"/>
      <c r="AI612" s="6"/>
      <c r="AJ612" s="7"/>
      <c r="AK612" s="7"/>
      <c r="AL612" s="6"/>
      <c r="AM612" s="6"/>
      <c r="AN612" s="8"/>
      <c r="AO612" s="8"/>
      <c r="AP612" s="8"/>
      <c r="AQ612" s="8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9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>
      <c r="A613" s="2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5"/>
      <c r="AD613" s="5"/>
      <c r="AE613" s="5"/>
      <c r="AF613" s="5"/>
      <c r="AG613" s="6"/>
      <c r="AH613" s="6"/>
      <c r="AI613" s="6"/>
      <c r="AJ613" s="7"/>
      <c r="AK613" s="7"/>
      <c r="AL613" s="6"/>
      <c r="AM613" s="6"/>
      <c r="AN613" s="8"/>
      <c r="AO613" s="8"/>
      <c r="AP613" s="8"/>
      <c r="AQ613" s="8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9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>
      <c r="A614" s="2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5"/>
      <c r="AD614" s="5"/>
      <c r="AE614" s="5"/>
      <c r="AF614" s="5"/>
      <c r="AG614" s="6"/>
      <c r="AH614" s="6"/>
      <c r="AI614" s="6"/>
      <c r="AJ614" s="7"/>
      <c r="AK614" s="7"/>
      <c r="AL614" s="6"/>
      <c r="AM614" s="6"/>
      <c r="AN614" s="8"/>
      <c r="AO614" s="8"/>
      <c r="AP614" s="8"/>
      <c r="AQ614" s="8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9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>
      <c r="A615" s="2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5"/>
      <c r="AD615" s="5"/>
      <c r="AE615" s="5"/>
      <c r="AF615" s="5"/>
      <c r="AG615" s="6"/>
      <c r="AH615" s="6"/>
      <c r="AI615" s="6"/>
      <c r="AJ615" s="7"/>
      <c r="AK615" s="7"/>
      <c r="AL615" s="6"/>
      <c r="AM615" s="6"/>
      <c r="AN615" s="8"/>
      <c r="AO615" s="8"/>
      <c r="AP615" s="8"/>
      <c r="AQ615" s="8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9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>
      <c r="A616" s="2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5"/>
      <c r="AD616" s="5"/>
      <c r="AE616" s="5"/>
      <c r="AF616" s="5"/>
      <c r="AG616" s="6"/>
      <c r="AH616" s="6"/>
      <c r="AI616" s="6"/>
      <c r="AJ616" s="7"/>
      <c r="AK616" s="7"/>
      <c r="AL616" s="6"/>
      <c r="AM616" s="6"/>
      <c r="AN616" s="8"/>
      <c r="AO616" s="8"/>
      <c r="AP616" s="8"/>
      <c r="AQ616" s="8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9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>
      <c r="A617" s="2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5"/>
      <c r="AD617" s="5"/>
      <c r="AE617" s="5"/>
      <c r="AF617" s="5"/>
      <c r="AG617" s="6"/>
      <c r="AH617" s="6"/>
      <c r="AI617" s="6"/>
      <c r="AJ617" s="7"/>
      <c r="AK617" s="7"/>
      <c r="AL617" s="6"/>
      <c r="AM617" s="6"/>
      <c r="AN617" s="8"/>
      <c r="AO617" s="8"/>
      <c r="AP617" s="8"/>
      <c r="AQ617" s="8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9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>
      <c r="A618" s="2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5"/>
      <c r="AD618" s="5"/>
      <c r="AE618" s="5"/>
      <c r="AF618" s="5"/>
      <c r="AG618" s="6"/>
      <c r="AH618" s="6"/>
      <c r="AI618" s="6"/>
      <c r="AJ618" s="7"/>
      <c r="AK618" s="7"/>
      <c r="AL618" s="6"/>
      <c r="AM618" s="6"/>
      <c r="AN618" s="8"/>
      <c r="AO618" s="8"/>
      <c r="AP618" s="8"/>
      <c r="AQ618" s="8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9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>
      <c r="A619" s="2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5"/>
      <c r="AD619" s="5"/>
      <c r="AE619" s="5"/>
      <c r="AF619" s="5"/>
      <c r="AG619" s="6"/>
      <c r="AH619" s="6"/>
      <c r="AI619" s="6"/>
      <c r="AJ619" s="7"/>
      <c r="AK619" s="7"/>
      <c r="AL619" s="6"/>
      <c r="AM619" s="6"/>
      <c r="AN619" s="8"/>
      <c r="AO619" s="8"/>
      <c r="AP619" s="8"/>
      <c r="AQ619" s="8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9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>
      <c r="A620" s="2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5"/>
      <c r="AD620" s="5"/>
      <c r="AE620" s="5"/>
      <c r="AF620" s="5"/>
      <c r="AG620" s="6"/>
      <c r="AH620" s="6"/>
      <c r="AI620" s="6"/>
      <c r="AJ620" s="7"/>
      <c r="AK620" s="7"/>
      <c r="AL620" s="6"/>
      <c r="AM620" s="6"/>
      <c r="AN620" s="8"/>
      <c r="AO620" s="8"/>
      <c r="AP620" s="8"/>
      <c r="AQ620" s="8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9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>
      <c r="A621" s="2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5"/>
      <c r="AD621" s="5"/>
      <c r="AE621" s="5"/>
      <c r="AF621" s="5"/>
      <c r="AG621" s="6"/>
      <c r="AH621" s="6"/>
      <c r="AI621" s="6"/>
      <c r="AJ621" s="7"/>
      <c r="AK621" s="7"/>
      <c r="AL621" s="6"/>
      <c r="AM621" s="6"/>
      <c r="AN621" s="8"/>
      <c r="AO621" s="8"/>
      <c r="AP621" s="8"/>
      <c r="AQ621" s="8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9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>
      <c r="A622" s="2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5"/>
      <c r="AD622" s="5"/>
      <c r="AE622" s="5"/>
      <c r="AF622" s="5"/>
      <c r="AG622" s="6"/>
      <c r="AH622" s="6"/>
      <c r="AI622" s="6"/>
      <c r="AJ622" s="7"/>
      <c r="AK622" s="7"/>
      <c r="AL622" s="6"/>
      <c r="AM622" s="6"/>
      <c r="AN622" s="8"/>
      <c r="AO622" s="8"/>
      <c r="AP622" s="8"/>
      <c r="AQ622" s="8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9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>
      <c r="A623" s="2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5"/>
      <c r="AD623" s="5"/>
      <c r="AE623" s="5"/>
      <c r="AF623" s="5"/>
      <c r="AG623" s="6"/>
      <c r="AH623" s="6"/>
      <c r="AI623" s="6"/>
      <c r="AJ623" s="7"/>
      <c r="AK623" s="7"/>
      <c r="AL623" s="6"/>
      <c r="AM623" s="6"/>
      <c r="AN623" s="8"/>
      <c r="AO623" s="8"/>
      <c r="AP623" s="8"/>
      <c r="AQ623" s="8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9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>
      <c r="A624" s="2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5"/>
      <c r="AD624" s="5"/>
      <c r="AE624" s="5"/>
      <c r="AF624" s="5"/>
      <c r="AG624" s="6"/>
      <c r="AH624" s="6"/>
      <c r="AI624" s="6"/>
      <c r="AJ624" s="7"/>
      <c r="AK624" s="7"/>
      <c r="AL624" s="6"/>
      <c r="AM624" s="6"/>
      <c r="AN624" s="8"/>
      <c r="AO624" s="8"/>
      <c r="AP624" s="8"/>
      <c r="AQ624" s="8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9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>
      <c r="A625" s="2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5"/>
      <c r="AD625" s="5"/>
      <c r="AE625" s="5"/>
      <c r="AF625" s="5"/>
      <c r="AG625" s="6"/>
      <c r="AH625" s="6"/>
      <c r="AI625" s="6"/>
      <c r="AJ625" s="7"/>
      <c r="AK625" s="7"/>
      <c r="AL625" s="6"/>
      <c r="AM625" s="6"/>
      <c r="AN625" s="8"/>
      <c r="AO625" s="8"/>
      <c r="AP625" s="8"/>
      <c r="AQ625" s="8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9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>
      <c r="A626" s="2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5"/>
      <c r="AD626" s="5"/>
      <c r="AE626" s="5"/>
      <c r="AF626" s="5"/>
      <c r="AG626" s="6"/>
      <c r="AH626" s="6"/>
      <c r="AI626" s="6"/>
      <c r="AJ626" s="7"/>
      <c r="AK626" s="7"/>
      <c r="AL626" s="6"/>
      <c r="AM626" s="6"/>
      <c r="AN626" s="8"/>
      <c r="AO626" s="8"/>
      <c r="AP626" s="8"/>
      <c r="AQ626" s="8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9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>
      <c r="A627" s="2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5"/>
      <c r="AD627" s="5"/>
      <c r="AE627" s="5"/>
      <c r="AF627" s="5"/>
      <c r="AG627" s="6"/>
      <c r="AH627" s="6"/>
      <c r="AI627" s="6"/>
      <c r="AJ627" s="7"/>
      <c r="AK627" s="7"/>
      <c r="AL627" s="6"/>
      <c r="AM627" s="6"/>
      <c r="AN627" s="8"/>
      <c r="AO627" s="8"/>
      <c r="AP627" s="8"/>
      <c r="AQ627" s="8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9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>
      <c r="A628" s="2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5"/>
      <c r="AD628" s="5"/>
      <c r="AE628" s="5"/>
      <c r="AF628" s="5"/>
      <c r="AG628" s="6"/>
      <c r="AH628" s="6"/>
      <c r="AI628" s="6"/>
      <c r="AJ628" s="7"/>
      <c r="AK628" s="7"/>
      <c r="AL628" s="6"/>
      <c r="AM628" s="6"/>
      <c r="AN628" s="8"/>
      <c r="AO628" s="8"/>
      <c r="AP628" s="8"/>
      <c r="AQ628" s="8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9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>
      <c r="A629" s="2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5"/>
      <c r="AD629" s="5"/>
      <c r="AE629" s="5"/>
      <c r="AF629" s="5"/>
      <c r="AG629" s="6"/>
      <c r="AH629" s="6"/>
      <c r="AI629" s="6"/>
      <c r="AJ629" s="7"/>
      <c r="AK629" s="7"/>
      <c r="AL629" s="6"/>
      <c r="AM629" s="6"/>
      <c r="AN629" s="8"/>
      <c r="AO629" s="8"/>
      <c r="AP629" s="8"/>
      <c r="AQ629" s="8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9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>
      <c r="A630" s="2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5"/>
      <c r="AD630" s="5"/>
      <c r="AE630" s="5"/>
      <c r="AF630" s="5"/>
      <c r="AG630" s="6"/>
      <c r="AH630" s="6"/>
      <c r="AI630" s="6"/>
      <c r="AJ630" s="7"/>
      <c r="AK630" s="7"/>
      <c r="AL630" s="6"/>
      <c r="AM630" s="6"/>
      <c r="AN630" s="8"/>
      <c r="AO630" s="8"/>
      <c r="AP630" s="8"/>
      <c r="AQ630" s="8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9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>
      <c r="A631" s="2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5"/>
      <c r="AD631" s="5"/>
      <c r="AE631" s="5"/>
      <c r="AF631" s="5"/>
      <c r="AG631" s="6"/>
      <c r="AH631" s="6"/>
      <c r="AI631" s="6"/>
      <c r="AJ631" s="7"/>
      <c r="AK631" s="7"/>
      <c r="AL631" s="6"/>
      <c r="AM631" s="6"/>
      <c r="AN631" s="8"/>
      <c r="AO631" s="8"/>
      <c r="AP631" s="8"/>
      <c r="AQ631" s="8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9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>
      <c r="A632" s="2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5"/>
      <c r="AD632" s="5"/>
      <c r="AE632" s="5"/>
      <c r="AF632" s="5"/>
      <c r="AG632" s="6"/>
      <c r="AH632" s="6"/>
      <c r="AI632" s="6"/>
      <c r="AJ632" s="7"/>
      <c r="AK632" s="7"/>
      <c r="AL632" s="6"/>
      <c r="AM632" s="6"/>
      <c r="AN632" s="8"/>
      <c r="AO632" s="8"/>
      <c r="AP632" s="8"/>
      <c r="AQ632" s="8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9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>
      <c r="A633" s="2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5"/>
      <c r="AD633" s="5"/>
      <c r="AE633" s="5"/>
      <c r="AF633" s="5"/>
      <c r="AG633" s="6"/>
      <c r="AH633" s="6"/>
      <c r="AI633" s="6"/>
      <c r="AJ633" s="7"/>
      <c r="AK633" s="7"/>
      <c r="AL633" s="6"/>
      <c r="AM633" s="6"/>
      <c r="AN633" s="8"/>
      <c r="AO633" s="8"/>
      <c r="AP633" s="8"/>
      <c r="AQ633" s="8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9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>
      <c r="A634" s="2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5"/>
      <c r="AD634" s="5"/>
      <c r="AE634" s="5"/>
      <c r="AF634" s="5"/>
      <c r="AG634" s="6"/>
      <c r="AH634" s="6"/>
      <c r="AI634" s="6"/>
      <c r="AJ634" s="7"/>
      <c r="AK634" s="7"/>
      <c r="AL634" s="6"/>
      <c r="AM634" s="6"/>
      <c r="AN634" s="8"/>
      <c r="AO634" s="8"/>
      <c r="AP634" s="8"/>
      <c r="AQ634" s="8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9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>
      <c r="A635" s="2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5"/>
      <c r="AD635" s="5"/>
      <c r="AE635" s="5"/>
      <c r="AF635" s="5"/>
      <c r="AG635" s="6"/>
      <c r="AH635" s="6"/>
      <c r="AI635" s="6"/>
      <c r="AJ635" s="7"/>
      <c r="AK635" s="7"/>
      <c r="AL635" s="6"/>
      <c r="AM635" s="6"/>
      <c r="AN635" s="8"/>
      <c r="AO635" s="8"/>
      <c r="AP635" s="8"/>
      <c r="AQ635" s="8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9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>
      <c r="A636" s="2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5"/>
      <c r="AD636" s="5"/>
      <c r="AE636" s="5"/>
      <c r="AF636" s="5"/>
      <c r="AG636" s="6"/>
      <c r="AH636" s="6"/>
      <c r="AI636" s="6"/>
      <c r="AJ636" s="7"/>
      <c r="AK636" s="7"/>
      <c r="AL636" s="6"/>
      <c r="AM636" s="6"/>
      <c r="AN636" s="8"/>
      <c r="AO636" s="8"/>
      <c r="AP636" s="8"/>
      <c r="AQ636" s="8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9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>
      <c r="A637" s="2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5"/>
      <c r="AD637" s="5"/>
      <c r="AE637" s="5"/>
      <c r="AF637" s="5"/>
      <c r="AG637" s="6"/>
      <c r="AH637" s="6"/>
      <c r="AI637" s="6"/>
      <c r="AJ637" s="7"/>
      <c r="AK637" s="7"/>
      <c r="AL637" s="6"/>
      <c r="AM637" s="6"/>
      <c r="AN637" s="8"/>
      <c r="AO637" s="8"/>
      <c r="AP637" s="8"/>
      <c r="AQ637" s="8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9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>
      <c r="A638" s="2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5"/>
      <c r="AD638" s="5"/>
      <c r="AE638" s="5"/>
      <c r="AF638" s="5"/>
      <c r="AG638" s="6"/>
      <c r="AH638" s="6"/>
      <c r="AI638" s="6"/>
      <c r="AJ638" s="7"/>
      <c r="AK638" s="7"/>
      <c r="AL638" s="6"/>
      <c r="AM638" s="6"/>
      <c r="AN638" s="8"/>
      <c r="AO638" s="8"/>
      <c r="AP638" s="8"/>
      <c r="AQ638" s="8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9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>
      <c r="A639" s="2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5"/>
      <c r="AD639" s="5"/>
      <c r="AE639" s="5"/>
      <c r="AF639" s="5"/>
      <c r="AG639" s="6"/>
      <c r="AH639" s="6"/>
      <c r="AI639" s="6"/>
      <c r="AJ639" s="7"/>
      <c r="AK639" s="7"/>
      <c r="AL639" s="6"/>
      <c r="AM639" s="6"/>
      <c r="AN639" s="8"/>
      <c r="AO639" s="8"/>
      <c r="AP639" s="8"/>
      <c r="AQ639" s="8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9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>
      <c r="A640" s="2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5"/>
      <c r="AD640" s="5"/>
      <c r="AE640" s="5"/>
      <c r="AF640" s="5"/>
      <c r="AG640" s="6"/>
      <c r="AH640" s="6"/>
      <c r="AI640" s="6"/>
      <c r="AJ640" s="7"/>
      <c r="AK640" s="7"/>
      <c r="AL640" s="6"/>
      <c r="AM640" s="6"/>
      <c r="AN640" s="8"/>
      <c r="AO640" s="8"/>
      <c r="AP640" s="8"/>
      <c r="AQ640" s="8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9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>
      <c r="A641" s="2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5"/>
      <c r="AD641" s="5"/>
      <c r="AE641" s="5"/>
      <c r="AF641" s="5"/>
      <c r="AG641" s="6"/>
      <c r="AH641" s="6"/>
      <c r="AI641" s="6"/>
      <c r="AJ641" s="7"/>
      <c r="AK641" s="7"/>
      <c r="AL641" s="6"/>
      <c r="AM641" s="6"/>
      <c r="AN641" s="8"/>
      <c r="AO641" s="8"/>
      <c r="AP641" s="8"/>
      <c r="AQ641" s="8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9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>
      <c r="A642" s="2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5"/>
      <c r="AD642" s="5"/>
      <c r="AE642" s="5"/>
      <c r="AF642" s="5"/>
      <c r="AG642" s="6"/>
      <c r="AH642" s="6"/>
      <c r="AI642" s="6"/>
      <c r="AJ642" s="7"/>
      <c r="AK642" s="7"/>
      <c r="AL642" s="6"/>
      <c r="AM642" s="6"/>
      <c r="AN642" s="8"/>
      <c r="AO642" s="8"/>
      <c r="AP642" s="8"/>
      <c r="AQ642" s="8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9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>
      <c r="A643" s="2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5"/>
      <c r="AD643" s="5"/>
      <c r="AE643" s="5"/>
      <c r="AF643" s="5"/>
      <c r="AG643" s="6"/>
      <c r="AH643" s="6"/>
      <c r="AI643" s="6"/>
      <c r="AJ643" s="7"/>
      <c r="AK643" s="7"/>
      <c r="AL643" s="6"/>
      <c r="AM643" s="6"/>
      <c r="AN643" s="8"/>
      <c r="AO643" s="8"/>
      <c r="AP643" s="8"/>
      <c r="AQ643" s="8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9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>
      <c r="A644" s="2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5"/>
      <c r="AD644" s="5"/>
      <c r="AE644" s="5"/>
      <c r="AF644" s="5"/>
      <c r="AG644" s="6"/>
      <c r="AH644" s="6"/>
      <c r="AI644" s="6"/>
      <c r="AJ644" s="7"/>
      <c r="AK644" s="7"/>
      <c r="AL644" s="6"/>
      <c r="AM644" s="6"/>
      <c r="AN644" s="8"/>
      <c r="AO644" s="8"/>
      <c r="AP644" s="8"/>
      <c r="AQ644" s="8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9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>
      <c r="A645" s="2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5"/>
      <c r="AD645" s="5"/>
      <c r="AE645" s="5"/>
      <c r="AF645" s="5"/>
      <c r="AG645" s="6"/>
      <c r="AH645" s="6"/>
      <c r="AI645" s="6"/>
      <c r="AJ645" s="7"/>
      <c r="AK645" s="7"/>
      <c r="AL645" s="6"/>
      <c r="AM645" s="6"/>
      <c r="AN645" s="8"/>
      <c r="AO645" s="8"/>
      <c r="AP645" s="8"/>
      <c r="AQ645" s="8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9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>
      <c r="A646" s="2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5"/>
      <c r="AD646" s="5"/>
      <c r="AE646" s="5"/>
      <c r="AF646" s="5"/>
      <c r="AG646" s="6"/>
      <c r="AH646" s="6"/>
      <c r="AI646" s="6"/>
      <c r="AJ646" s="7"/>
      <c r="AK646" s="7"/>
      <c r="AL646" s="6"/>
      <c r="AM646" s="6"/>
      <c r="AN646" s="8"/>
      <c r="AO646" s="8"/>
      <c r="AP646" s="8"/>
      <c r="AQ646" s="8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9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>
      <c r="A647" s="2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5"/>
      <c r="AD647" s="5"/>
      <c r="AE647" s="5"/>
      <c r="AF647" s="5"/>
      <c r="AG647" s="6"/>
      <c r="AH647" s="6"/>
      <c r="AI647" s="6"/>
      <c r="AJ647" s="7"/>
      <c r="AK647" s="7"/>
      <c r="AL647" s="6"/>
      <c r="AM647" s="6"/>
      <c r="AN647" s="8"/>
      <c r="AO647" s="8"/>
      <c r="AP647" s="8"/>
      <c r="AQ647" s="8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9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>
      <c r="A648" s="2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5"/>
      <c r="AD648" s="5"/>
      <c r="AE648" s="5"/>
      <c r="AF648" s="5"/>
      <c r="AG648" s="6"/>
      <c r="AH648" s="6"/>
      <c r="AI648" s="6"/>
      <c r="AJ648" s="7"/>
      <c r="AK648" s="7"/>
      <c r="AL648" s="6"/>
      <c r="AM648" s="6"/>
      <c r="AN648" s="8"/>
      <c r="AO648" s="8"/>
      <c r="AP648" s="8"/>
      <c r="AQ648" s="8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9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>
      <c r="A649" s="2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5"/>
      <c r="AD649" s="5"/>
      <c r="AE649" s="5"/>
      <c r="AF649" s="5"/>
      <c r="AG649" s="6"/>
      <c r="AH649" s="6"/>
      <c r="AI649" s="6"/>
      <c r="AJ649" s="7"/>
      <c r="AK649" s="7"/>
      <c r="AL649" s="6"/>
      <c r="AM649" s="6"/>
      <c r="AN649" s="8"/>
      <c r="AO649" s="8"/>
      <c r="AP649" s="8"/>
      <c r="AQ649" s="8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9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>
      <c r="A650" s="2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5"/>
      <c r="AD650" s="5"/>
      <c r="AE650" s="5"/>
      <c r="AF650" s="5"/>
      <c r="AG650" s="6"/>
      <c r="AH650" s="6"/>
      <c r="AI650" s="6"/>
      <c r="AJ650" s="7"/>
      <c r="AK650" s="7"/>
      <c r="AL650" s="6"/>
      <c r="AM650" s="6"/>
      <c r="AN650" s="8"/>
      <c r="AO650" s="8"/>
      <c r="AP650" s="8"/>
      <c r="AQ650" s="8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9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>
      <c r="A651" s="2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5"/>
      <c r="AD651" s="5"/>
      <c r="AE651" s="5"/>
      <c r="AF651" s="5"/>
      <c r="AG651" s="6"/>
      <c r="AH651" s="6"/>
      <c r="AI651" s="6"/>
      <c r="AJ651" s="7"/>
      <c r="AK651" s="7"/>
      <c r="AL651" s="6"/>
      <c r="AM651" s="6"/>
      <c r="AN651" s="8"/>
      <c r="AO651" s="8"/>
      <c r="AP651" s="8"/>
      <c r="AQ651" s="8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9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>
      <c r="A652" s="2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5"/>
      <c r="AD652" s="5"/>
      <c r="AE652" s="5"/>
      <c r="AF652" s="5"/>
      <c r="AG652" s="6"/>
      <c r="AH652" s="6"/>
      <c r="AI652" s="6"/>
      <c r="AJ652" s="7"/>
      <c r="AK652" s="7"/>
      <c r="AL652" s="6"/>
      <c r="AM652" s="6"/>
      <c r="AN652" s="8"/>
      <c r="AO652" s="8"/>
      <c r="AP652" s="8"/>
      <c r="AQ652" s="8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9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>
      <c r="A653" s="2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5"/>
      <c r="AD653" s="5"/>
      <c r="AE653" s="5"/>
      <c r="AF653" s="5"/>
      <c r="AG653" s="6"/>
      <c r="AH653" s="6"/>
      <c r="AI653" s="6"/>
      <c r="AJ653" s="7"/>
      <c r="AK653" s="7"/>
      <c r="AL653" s="6"/>
      <c r="AM653" s="6"/>
      <c r="AN653" s="8"/>
      <c r="AO653" s="8"/>
      <c r="AP653" s="8"/>
      <c r="AQ653" s="8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9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>
      <c r="A654" s="2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5"/>
      <c r="AD654" s="5"/>
      <c r="AE654" s="5"/>
      <c r="AF654" s="5"/>
      <c r="AG654" s="6"/>
      <c r="AH654" s="6"/>
      <c r="AI654" s="6"/>
      <c r="AJ654" s="7"/>
      <c r="AK654" s="7"/>
      <c r="AL654" s="6"/>
      <c r="AM654" s="6"/>
      <c r="AN654" s="8"/>
      <c r="AO654" s="8"/>
      <c r="AP654" s="8"/>
      <c r="AQ654" s="8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9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>
      <c r="A655" s="2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5"/>
      <c r="AD655" s="5"/>
      <c r="AE655" s="5"/>
      <c r="AF655" s="5"/>
      <c r="AG655" s="6"/>
      <c r="AH655" s="6"/>
      <c r="AI655" s="6"/>
      <c r="AJ655" s="7"/>
      <c r="AK655" s="7"/>
      <c r="AL655" s="6"/>
      <c r="AM655" s="6"/>
      <c r="AN655" s="8"/>
      <c r="AO655" s="8"/>
      <c r="AP655" s="8"/>
      <c r="AQ655" s="8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9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>
      <c r="A656" s="2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5"/>
      <c r="AD656" s="5"/>
      <c r="AE656" s="5"/>
      <c r="AF656" s="5"/>
      <c r="AG656" s="6"/>
      <c r="AH656" s="6"/>
      <c r="AI656" s="6"/>
      <c r="AJ656" s="7"/>
      <c r="AK656" s="7"/>
      <c r="AL656" s="6"/>
      <c r="AM656" s="6"/>
      <c r="AN656" s="8"/>
      <c r="AO656" s="8"/>
      <c r="AP656" s="8"/>
      <c r="AQ656" s="8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9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>
      <c r="A657" s="2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5"/>
      <c r="AD657" s="5"/>
      <c r="AE657" s="5"/>
      <c r="AF657" s="5"/>
      <c r="AG657" s="6"/>
      <c r="AH657" s="6"/>
      <c r="AI657" s="6"/>
      <c r="AJ657" s="7"/>
      <c r="AK657" s="7"/>
      <c r="AL657" s="6"/>
      <c r="AM657" s="6"/>
      <c r="AN657" s="8"/>
      <c r="AO657" s="8"/>
      <c r="AP657" s="8"/>
      <c r="AQ657" s="8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9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>
      <c r="A658" s="2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5"/>
      <c r="AD658" s="5"/>
      <c r="AE658" s="5"/>
      <c r="AF658" s="5"/>
      <c r="AG658" s="6"/>
      <c r="AH658" s="6"/>
      <c r="AI658" s="6"/>
      <c r="AJ658" s="7"/>
      <c r="AK658" s="7"/>
      <c r="AL658" s="6"/>
      <c r="AM658" s="6"/>
      <c r="AN658" s="8"/>
      <c r="AO658" s="8"/>
      <c r="AP658" s="8"/>
      <c r="AQ658" s="8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9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>
      <c r="A659" s="2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5"/>
      <c r="AD659" s="5"/>
      <c r="AE659" s="5"/>
      <c r="AF659" s="5"/>
      <c r="AG659" s="6"/>
      <c r="AH659" s="6"/>
      <c r="AI659" s="6"/>
      <c r="AJ659" s="7"/>
      <c r="AK659" s="7"/>
      <c r="AL659" s="6"/>
      <c r="AM659" s="6"/>
      <c r="AN659" s="8"/>
      <c r="AO659" s="8"/>
      <c r="AP659" s="8"/>
      <c r="AQ659" s="8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9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>
      <c r="A660" s="2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5"/>
      <c r="AD660" s="5"/>
      <c r="AE660" s="5"/>
      <c r="AF660" s="5"/>
      <c r="AG660" s="6"/>
      <c r="AH660" s="6"/>
      <c r="AI660" s="6"/>
      <c r="AJ660" s="7"/>
      <c r="AK660" s="7"/>
      <c r="AL660" s="6"/>
      <c r="AM660" s="6"/>
      <c r="AN660" s="8"/>
      <c r="AO660" s="8"/>
      <c r="AP660" s="8"/>
      <c r="AQ660" s="8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9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>
      <c r="A661" s="2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5"/>
      <c r="AD661" s="5"/>
      <c r="AE661" s="5"/>
      <c r="AF661" s="5"/>
      <c r="AG661" s="6"/>
      <c r="AH661" s="6"/>
      <c r="AI661" s="6"/>
      <c r="AJ661" s="7"/>
      <c r="AK661" s="7"/>
      <c r="AL661" s="6"/>
      <c r="AM661" s="6"/>
      <c r="AN661" s="8"/>
      <c r="AO661" s="8"/>
      <c r="AP661" s="8"/>
      <c r="AQ661" s="8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9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>
      <c r="A662" s="2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5"/>
      <c r="AD662" s="5"/>
      <c r="AE662" s="5"/>
      <c r="AF662" s="5"/>
      <c r="AG662" s="6"/>
      <c r="AH662" s="6"/>
      <c r="AI662" s="6"/>
      <c r="AJ662" s="7"/>
      <c r="AK662" s="7"/>
      <c r="AL662" s="6"/>
      <c r="AM662" s="6"/>
      <c r="AN662" s="8"/>
      <c r="AO662" s="8"/>
      <c r="AP662" s="8"/>
      <c r="AQ662" s="8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9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>
      <c r="A663" s="2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5"/>
      <c r="AD663" s="5"/>
      <c r="AE663" s="5"/>
      <c r="AF663" s="5"/>
      <c r="AG663" s="6"/>
      <c r="AH663" s="6"/>
      <c r="AI663" s="6"/>
      <c r="AJ663" s="7"/>
      <c r="AK663" s="7"/>
      <c r="AL663" s="6"/>
      <c r="AM663" s="6"/>
      <c r="AN663" s="8"/>
      <c r="AO663" s="8"/>
      <c r="AP663" s="8"/>
      <c r="AQ663" s="8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9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>
      <c r="A664" s="2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5"/>
      <c r="AD664" s="5"/>
      <c r="AE664" s="5"/>
      <c r="AF664" s="5"/>
      <c r="AG664" s="6"/>
      <c r="AH664" s="6"/>
      <c r="AI664" s="6"/>
      <c r="AJ664" s="7"/>
      <c r="AK664" s="7"/>
      <c r="AL664" s="6"/>
      <c r="AM664" s="6"/>
      <c r="AN664" s="8"/>
      <c r="AO664" s="8"/>
      <c r="AP664" s="8"/>
      <c r="AQ664" s="8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9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>
      <c r="A665" s="2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5"/>
      <c r="AD665" s="5"/>
      <c r="AE665" s="5"/>
      <c r="AF665" s="5"/>
      <c r="AG665" s="6"/>
      <c r="AH665" s="6"/>
      <c r="AI665" s="6"/>
      <c r="AJ665" s="7"/>
      <c r="AK665" s="7"/>
      <c r="AL665" s="6"/>
      <c r="AM665" s="6"/>
      <c r="AN665" s="8"/>
      <c r="AO665" s="8"/>
      <c r="AP665" s="8"/>
      <c r="AQ665" s="8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9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>
      <c r="A666" s="2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5"/>
      <c r="AD666" s="5"/>
      <c r="AE666" s="5"/>
      <c r="AF666" s="5"/>
      <c r="AG666" s="6"/>
      <c r="AH666" s="6"/>
      <c r="AI666" s="6"/>
      <c r="AJ666" s="7"/>
      <c r="AK666" s="7"/>
      <c r="AL666" s="6"/>
      <c r="AM666" s="6"/>
      <c r="AN666" s="8"/>
      <c r="AO666" s="8"/>
      <c r="AP666" s="8"/>
      <c r="AQ666" s="8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9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>
      <c r="A667" s="2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5"/>
      <c r="AD667" s="5"/>
      <c r="AE667" s="5"/>
      <c r="AF667" s="5"/>
      <c r="AG667" s="6"/>
      <c r="AH667" s="6"/>
      <c r="AI667" s="6"/>
      <c r="AJ667" s="7"/>
      <c r="AK667" s="7"/>
      <c r="AL667" s="6"/>
      <c r="AM667" s="6"/>
      <c r="AN667" s="8"/>
      <c r="AO667" s="8"/>
      <c r="AP667" s="8"/>
      <c r="AQ667" s="8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9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>
      <c r="A668" s="2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5"/>
      <c r="AD668" s="5"/>
      <c r="AE668" s="5"/>
      <c r="AF668" s="5"/>
      <c r="AG668" s="6"/>
      <c r="AH668" s="6"/>
      <c r="AI668" s="6"/>
      <c r="AJ668" s="7"/>
      <c r="AK668" s="7"/>
      <c r="AL668" s="6"/>
      <c r="AM668" s="6"/>
      <c r="AN668" s="8"/>
      <c r="AO668" s="8"/>
      <c r="AP668" s="8"/>
      <c r="AQ668" s="8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9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>
      <c r="A669" s="2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5"/>
      <c r="AD669" s="5"/>
      <c r="AE669" s="5"/>
      <c r="AF669" s="5"/>
      <c r="AG669" s="6"/>
      <c r="AH669" s="6"/>
      <c r="AI669" s="6"/>
      <c r="AJ669" s="7"/>
      <c r="AK669" s="7"/>
      <c r="AL669" s="6"/>
      <c r="AM669" s="6"/>
      <c r="AN669" s="8"/>
      <c r="AO669" s="8"/>
      <c r="AP669" s="8"/>
      <c r="AQ669" s="8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9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>
      <c r="A670" s="2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5"/>
      <c r="AD670" s="5"/>
      <c r="AE670" s="5"/>
      <c r="AF670" s="5"/>
      <c r="AG670" s="6"/>
      <c r="AH670" s="6"/>
      <c r="AI670" s="6"/>
      <c r="AJ670" s="7"/>
      <c r="AK670" s="7"/>
      <c r="AL670" s="6"/>
      <c r="AM670" s="6"/>
      <c r="AN670" s="8"/>
      <c r="AO670" s="8"/>
      <c r="AP670" s="8"/>
      <c r="AQ670" s="8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9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>
      <c r="A671" s="2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5"/>
      <c r="AD671" s="5"/>
      <c r="AE671" s="5"/>
      <c r="AF671" s="5"/>
      <c r="AG671" s="6"/>
      <c r="AH671" s="6"/>
      <c r="AI671" s="6"/>
      <c r="AJ671" s="7"/>
      <c r="AK671" s="7"/>
      <c r="AL671" s="6"/>
      <c r="AM671" s="6"/>
      <c r="AN671" s="8"/>
      <c r="AO671" s="8"/>
      <c r="AP671" s="8"/>
      <c r="AQ671" s="8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9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>
      <c r="A672" s="2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5"/>
      <c r="AD672" s="5"/>
      <c r="AE672" s="5"/>
      <c r="AF672" s="5"/>
      <c r="AG672" s="6"/>
      <c r="AH672" s="6"/>
      <c r="AI672" s="6"/>
      <c r="AJ672" s="7"/>
      <c r="AK672" s="7"/>
      <c r="AL672" s="6"/>
      <c r="AM672" s="6"/>
      <c r="AN672" s="8"/>
      <c r="AO672" s="8"/>
      <c r="AP672" s="8"/>
      <c r="AQ672" s="8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9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>
      <c r="A673" s="2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5"/>
      <c r="AD673" s="5"/>
      <c r="AE673" s="5"/>
      <c r="AF673" s="5"/>
      <c r="AG673" s="6"/>
      <c r="AH673" s="6"/>
      <c r="AI673" s="6"/>
      <c r="AJ673" s="7"/>
      <c r="AK673" s="7"/>
      <c r="AL673" s="6"/>
      <c r="AM673" s="6"/>
      <c r="AN673" s="8"/>
      <c r="AO673" s="8"/>
      <c r="AP673" s="8"/>
      <c r="AQ673" s="8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9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>
      <c r="A674" s="2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5"/>
      <c r="AD674" s="5"/>
      <c r="AE674" s="5"/>
      <c r="AF674" s="5"/>
      <c r="AG674" s="6"/>
      <c r="AH674" s="6"/>
      <c r="AI674" s="6"/>
      <c r="AJ674" s="7"/>
      <c r="AK674" s="7"/>
      <c r="AL674" s="6"/>
      <c r="AM674" s="6"/>
      <c r="AN674" s="8"/>
      <c r="AO674" s="8"/>
      <c r="AP674" s="8"/>
      <c r="AQ674" s="8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9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>
      <c r="A675" s="2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5"/>
      <c r="AD675" s="5"/>
      <c r="AE675" s="5"/>
      <c r="AF675" s="5"/>
      <c r="AG675" s="6"/>
      <c r="AH675" s="6"/>
      <c r="AI675" s="6"/>
      <c r="AJ675" s="7"/>
      <c r="AK675" s="7"/>
      <c r="AL675" s="6"/>
      <c r="AM675" s="6"/>
      <c r="AN675" s="8"/>
      <c r="AO675" s="8"/>
      <c r="AP675" s="8"/>
      <c r="AQ675" s="8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9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>
      <c r="A676" s="2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5"/>
      <c r="AD676" s="5"/>
      <c r="AE676" s="5"/>
      <c r="AF676" s="5"/>
      <c r="AG676" s="6"/>
      <c r="AH676" s="6"/>
      <c r="AI676" s="6"/>
      <c r="AJ676" s="7"/>
      <c r="AK676" s="7"/>
      <c r="AL676" s="6"/>
      <c r="AM676" s="6"/>
      <c r="AN676" s="8"/>
      <c r="AO676" s="8"/>
      <c r="AP676" s="8"/>
      <c r="AQ676" s="8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9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>
      <c r="A677" s="2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5"/>
      <c r="AD677" s="5"/>
      <c r="AE677" s="5"/>
      <c r="AF677" s="5"/>
      <c r="AG677" s="6"/>
      <c r="AH677" s="6"/>
      <c r="AI677" s="6"/>
      <c r="AJ677" s="7"/>
      <c r="AK677" s="7"/>
      <c r="AL677" s="6"/>
      <c r="AM677" s="6"/>
      <c r="AN677" s="8"/>
      <c r="AO677" s="8"/>
      <c r="AP677" s="8"/>
      <c r="AQ677" s="8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9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>
      <c r="A678" s="2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5"/>
      <c r="AD678" s="5"/>
      <c r="AE678" s="5"/>
      <c r="AF678" s="5"/>
      <c r="AG678" s="6"/>
      <c r="AH678" s="6"/>
      <c r="AI678" s="6"/>
      <c r="AJ678" s="7"/>
      <c r="AK678" s="7"/>
      <c r="AL678" s="6"/>
      <c r="AM678" s="6"/>
      <c r="AN678" s="8"/>
      <c r="AO678" s="8"/>
      <c r="AP678" s="8"/>
      <c r="AQ678" s="8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9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>
      <c r="A679" s="2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5"/>
      <c r="AD679" s="5"/>
      <c r="AE679" s="5"/>
      <c r="AF679" s="5"/>
      <c r="AG679" s="6"/>
      <c r="AH679" s="6"/>
      <c r="AI679" s="6"/>
      <c r="AJ679" s="7"/>
      <c r="AK679" s="7"/>
      <c r="AL679" s="6"/>
      <c r="AM679" s="6"/>
      <c r="AN679" s="8"/>
      <c r="AO679" s="8"/>
      <c r="AP679" s="8"/>
      <c r="AQ679" s="8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9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>
      <c r="A680" s="2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5"/>
      <c r="AD680" s="5"/>
      <c r="AE680" s="5"/>
      <c r="AF680" s="5"/>
      <c r="AG680" s="6"/>
      <c r="AH680" s="6"/>
      <c r="AI680" s="6"/>
      <c r="AJ680" s="7"/>
      <c r="AK680" s="7"/>
      <c r="AL680" s="6"/>
      <c r="AM680" s="6"/>
      <c r="AN680" s="8"/>
      <c r="AO680" s="8"/>
      <c r="AP680" s="8"/>
      <c r="AQ680" s="8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9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>
      <c r="A681" s="2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5"/>
      <c r="AD681" s="5"/>
      <c r="AE681" s="5"/>
      <c r="AF681" s="5"/>
      <c r="AG681" s="6"/>
      <c r="AH681" s="6"/>
      <c r="AI681" s="6"/>
      <c r="AJ681" s="7"/>
      <c r="AK681" s="7"/>
      <c r="AL681" s="6"/>
      <c r="AM681" s="6"/>
      <c r="AN681" s="8"/>
      <c r="AO681" s="8"/>
      <c r="AP681" s="8"/>
      <c r="AQ681" s="8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9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>
      <c r="A682" s="2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5"/>
      <c r="AD682" s="5"/>
      <c r="AE682" s="5"/>
      <c r="AF682" s="5"/>
      <c r="AG682" s="6"/>
      <c r="AH682" s="6"/>
      <c r="AI682" s="6"/>
      <c r="AJ682" s="7"/>
      <c r="AK682" s="7"/>
      <c r="AL682" s="6"/>
      <c r="AM682" s="6"/>
      <c r="AN682" s="8"/>
      <c r="AO682" s="8"/>
      <c r="AP682" s="8"/>
      <c r="AQ682" s="8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9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>
      <c r="A683" s="2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5"/>
      <c r="AD683" s="5"/>
      <c r="AE683" s="5"/>
      <c r="AF683" s="5"/>
      <c r="AG683" s="6"/>
      <c r="AH683" s="6"/>
      <c r="AI683" s="6"/>
      <c r="AJ683" s="7"/>
      <c r="AK683" s="7"/>
      <c r="AL683" s="6"/>
      <c r="AM683" s="6"/>
      <c r="AN683" s="8"/>
      <c r="AO683" s="8"/>
      <c r="AP683" s="8"/>
      <c r="AQ683" s="8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9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>
      <c r="A684" s="2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5"/>
      <c r="AD684" s="5"/>
      <c r="AE684" s="5"/>
      <c r="AF684" s="5"/>
      <c r="AG684" s="6"/>
      <c r="AH684" s="6"/>
      <c r="AI684" s="6"/>
      <c r="AJ684" s="7"/>
      <c r="AK684" s="7"/>
      <c r="AL684" s="6"/>
      <c r="AM684" s="6"/>
      <c r="AN684" s="8"/>
      <c r="AO684" s="8"/>
      <c r="AP684" s="8"/>
      <c r="AQ684" s="8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9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>
      <c r="A685" s="2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5"/>
      <c r="AD685" s="5"/>
      <c r="AE685" s="5"/>
      <c r="AF685" s="5"/>
      <c r="AG685" s="6"/>
      <c r="AH685" s="6"/>
      <c r="AI685" s="6"/>
      <c r="AJ685" s="7"/>
      <c r="AK685" s="7"/>
      <c r="AL685" s="6"/>
      <c r="AM685" s="6"/>
      <c r="AN685" s="8"/>
      <c r="AO685" s="8"/>
      <c r="AP685" s="8"/>
      <c r="AQ685" s="8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9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>
      <c r="A686" s="2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5"/>
      <c r="AD686" s="5"/>
      <c r="AE686" s="5"/>
      <c r="AF686" s="5"/>
      <c r="AG686" s="6"/>
      <c r="AH686" s="6"/>
      <c r="AI686" s="6"/>
      <c r="AJ686" s="7"/>
      <c r="AK686" s="7"/>
      <c r="AL686" s="6"/>
      <c r="AM686" s="6"/>
      <c r="AN686" s="8"/>
      <c r="AO686" s="8"/>
      <c r="AP686" s="8"/>
      <c r="AQ686" s="8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9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>
      <c r="A687" s="2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5"/>
      <c r="AD687" s="5"/>
      <c r="AE687" s="5"/>
      <c r="AF687" s="5"/>
      <c r="AG687" s="6"/>
      <c r="AH687" s="6"/>
      <c r="AI687" s="6"/>
      <c r="AJ687" s="7"/>
      <c r="AK687" s="7"/>
      <c r="AL687" s="6"/>
      <c r="AM687" s="6"/>
      <c r="AN687" s="8"/>
      <c r="AO687" s="8"/>
      <c r="AP687" s="8"/>
      <c r="AQ687" s="8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9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>
      <c r="A688" s="2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5"/>
      <c r="AD688" s="5"/>
      <c r="AE688" s="5"/>
      <c r="AF688" s="5"/>
      <c r="AG688" s="6"/>
      <c r="AH688" s="6"/>
      <c r="AI688" s="6"/>
      <c r="AJ688" s="7"/>
      <c r="AK688" s="7"/>
      <c r="AL688" s="6"/>
      <c r="AM688" s="6"/>
      <c r="AN688" s="8"/>
      <c r="AO688" s="8"/>
      <c r="AP688" s="8"/>
      <c r="AQ688" s="8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9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>
      <c r="A689" s="2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5"/>
      <c r="AD689" s="5"/>
      <c r="AE689" s="5"/>
      <c r="AF689" s="5"/>
      <c r="AG689" s="6"/>
      <c r="AH689" s="6"/>
      <c r="AI689" s="6"/>
      <c r="AJ689" s="7"/>
      <c r="AK689" s="7"/>
      <c r="AL689" s="6"/>
      <c r="AM689" s="6"/>
      <c r="AN689" s="8"/>
      <c r="AO689" s="8"/>
      <c r="AP689" s="8"/>
      <c r="AQ689" s="8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9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>
      <c r="A690" s="2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5"/>
      <c r="AD690" s="5"/>
      <c r="AE690" s="5"/>
      <c r="AF690" s="5"/>
      <c r="AG690" s="6"/>
      <c r="AH690" s="6"/>
      <c r="AI690" s="6"/>
      <c r="AJ690" s="7"/>
      <c r="AK690" s="7"/>
      <c r="AL690" s="6"/>
      <c r="AM690" s="6"/>
      <c r="AN690" s="8"/>
      <c r="AO690" s="8"/>
      <c r="AP690" s="8"/>
      <c r="AQ690" s="8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9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>
      <c r="A691" s="2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5"/>
      <c r="AD691" s="5"/>
      <c r="AE691" s="5"/>
      <c r="AF691" s="5"/>
      <c r="AG691" s="6"/>
      <c r="AH691" s="6"/>
      <c r="AI691" s="6"/>
      <c r="AJ691" s="7"/>
      <c r="AK691" s="7"/>
      <c r="AL691" s="6"/>
      <c r="AM691" s="6"/>
      <c r="AN691" s="8"/>
      <c r="AO691" s="8"/>
      <c r="AP691" s="8"/>
      <c r="AQ691" s="8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9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>
      <c r="A692" s="2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5"/>
      <c r="AD692" s="5"/>
      <c r="AE692" s="5"/>
      <c r="AF692" s="5"/>
      <c r="AG692" s="6"/>
      <c r="AH692" s="6"/>
      <c r="AI692" s="6"/>
      <c r="AJ692" s="7"/>
      <c r="AK692" s="7"/>
      <c r="AL692" s="6"/>
      <c r="AM692" s="6"/>
      <c r="AN692" s="8"/>
      <c r="AO692" s="8"/>
      <c r="AP692" s="8"/>
      <c r="AQ692" s="8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9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>
      <c r="A693" s="2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5"/>
      <c r="AD693" s="5"/>
      <c r="AE693" s="5"/>
      <c r="AF693" s="5"/>
      <c r="AG693" s="6"/>
      <c r="AH693" s="6"/>
      <c r="AI693" s="6"/>
      <c r="AJ693" s="7"/>
      <c r="AK693" s="7"/>
      <c r="AL693" s="6"/>
      <c r="AM693" s="6"/>
      <c r="AN693" s="8"/>
      <c r="AO693" s="8"/>
      <c r="AP693" s="8"/>
      <c r="AQ693" s="8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9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>
      <c r="A694" s="2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5"/>
      <c r="AD694" s="5"/>
      <c r="AE694" s="5"/>
      <c r="AF694" s="5"/>
      <c r="AG694" s="6"/>
      <c r="AH694" s="6"/>
      <c r="AI694" s="6"/>
      <c r="AJ694" s="7"/>
      <c r="AK694" s="7"/>
      <c r="AL694" s="6"/>
      <c r="AM694" s="6"/>
      <c r="AN694" s="8"/>
      <c r="AO694" s="8"/>
      <c r="AP694" s="8"/>
      <c r="AQ694" s="8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9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>
      <c r="A695" s="2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5"/>
      <c r="AD695" s="5"/>
      <c r="AE695" s="5"/>
      <c r="AF695" s="5"/>
      <c r="AG695" s="6"/>
      <c r="AH695" s="6"/>
      <c r="AI695" s="6"/>
      <c r="AJ695" s="7"/>
      <c r="AK695" s="7"/>
      <c r="AL695" s="6"/>
      <c r="AM695" s="6"/>
      <c r="AN695" s="8"/>
      <c r="AO695" s="8"/>
      <c r="AP695" s="8"/>
      <c r="AQ695" s="8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9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>
      <c r="A696" s="2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5"/>
      <c r="AD696" s="5"/>
      <c r="AE696" s="5"/>
      <c r="AF696" s="5"/>
      <c r="AG696" s="6"/>
      <c r="AH696" s="6"/>
      <c r="AI696" s="6"/>
      <c r="AJ696" s="7"/>
      <c r="AK696" s="7"/>
      <c r="AL696" s="6"/>
      <c r="AM696" s="6"/>
      <c r="AN696" s="8"/>
      <c r="AO696" s="8"/>
      <c r="AP696" s="8"/>
      <c r="AQ696" s="8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9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>
      <c r="A697" s="2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5"/>
      <c r="AD697" s="5"/>
      <c r="AE697" s="5"/>
      <c r="AF697" s="5"/>
      <c r="AG697" s="6"/>
      <c r="AH697" s="6"/>
      <c r="AI697" s="6"/>
      <c r="AJ697" s="7"/>
      <c r="AK697" s="7"/>
      <c r="AL697" s="6"/>
      <c r="AM697" s="6"/>
      <c r="AN697" s="8"/>
      <c r="AO697" s="8"/>
      <c r="AP697" s="8"/>
      <c r="AQ697" s="8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9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>
      <c r="A698" s="2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5"/>
      <c r="AD698" s="5"/>
      <c r="AE698" s="5"/>
      <c r="AF698" s="5"/>
      <c r="AG698" s="6"/>
      <c r="AH698" s="6"/>
      <c r="AI698" s="6"/>
      <c r="AJ698" s="7"/>
      <c r="AK698" s="7"/>
      <c r="AL698" s="6"/>
      <c r="AM698" s="6"/>
      <c r="AN698" s="8"/>
      <c r="AO698" s="8"/>
      <c r="AP698" s="8"/>
      <c r="AQ698" s="8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9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>
      <c r="A699" s="2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5"/>
      <c r="AD699" s="5"/>
      <c r="AE699" s="5"/>
      <c r="AF699" s="5"/>
      <c r="AG699" s="6"/>
      <c r="AH699" s="6"/>
      <c r="AI699" s="6"/>
      <c r="AJ699" s="7"/>
      <c r="AK699" s="7"/>
      <c r="AL699" s="6"/>
      <c r="AM699" s="6"/>
      <c r="AN699" s="8"/>
      <c r="AO699" s="8"/>
      <c r="AP699" s="8"/>
      <c r="AQ699" s="8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9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>
      <c r="A700" s="2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5"/>
      <c r="AD700" s="5"/>
      <c r="AE700" s="5"/>
      <c r="AF700" s="5"/>
      <c r="AG700" s="6"/>
      <c r="AH700" s="6"/>
      <c r="AI700" s="6"/>
      <c r="AJ700" s="7"/>
      <c r="AK700" s="7"/>
      <c r="AL700" s="6"/>
      <c r="AM700" s="6"/>
      <c r="AN700" s="8"/>
      <c r="AO700" s="8"/>
      <c r="AP700" s="8"/>
      <c r="AQ700" s="8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9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>
      <c r="A701" s="2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5"/>
      <c r="AD701" s="5"/>
      <c r="AE701" s="5"/>
      <c r="AF701" s="5"/>
      <c r="AG701" s="6"/>
      <c r="AH701" s="6"/>
      <c r="AI701" s="6"/>
      <c r="AJ701" s="7"/>
      <c r="AK701" s="7"/>
      <c r="AL701" s="6"/>
      <c r="AM701" s="6"/>
      <c r="AN701" s="8"/>
      <c r="AO701" s="8"/>
      <c r="AP701" s="8"/>
      <c r="AQ701" s="8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9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>
      <c r="A702" s="2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5"/>
      <c r="AD702" s="5"/>
      <c r="AE702" s="5"/>
      <c r="AF702" s="5"/>
      <c r="AG702" s="6"/>
      <c r="AH702" s="6"/>
      <c r="AI702" s="6"/>
      <c r="AJ702" s="7"/>
      <c r="AK702" s="7"/>
      <c r="AL702" s="6"/>
      <c r="AM702" s="6"/>
      <c r="AN702" s="8"/>
      <c r="AO702" s="8"/>
      <c r="AP702" s="8"/>
      <c r="AQ702" s="8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9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>
      <c r="A703" s="2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5"/>
      <c r="AD703" s="5"/>
      <c r="AE703" s="5"/>
      <c r="AF703" s="5"/>
      <c r="AG703" s="6"/>
      <c r="AH703" s="6"/>
      <c r="AI703" s="6"/>
      <c r="AJ703" s="7"/>
      <c r="AK703" s="7"/>
      <c r="AL703" s="6"/>
      <c r="AM703" s="6"/>
      <c r="AN703" s="8"/>
      <c r="AO703" s="8"/>
      <c r="AP703" s="8"/>
      <c r="AQ703" s="8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9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>
      <c r="A704" s="2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5"/>
      <c r="AD704" s="5"/>
      <c r="AE704" s="5"/>
      <c r="AF704" s="5"/>
      <c r="AG704" s="6"/>
      <c r="AH704" s="6"/>
      <c r="AI704" s="6"/>
      <c r="AJ704" s="7"/>
      <c r="AK704" s="7"/>
      <c r="AL704" s="6"/>
      <c r="AM704" s="6"/>
      <c r="AN704" s="8"/>
      <c r="AO704" s="8"/>
      <c r="AP704" s="8"/>
      <c r="AQ704" s="8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9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>
      <c r="A705" s="2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5"/>
      <c r="AD705" s="5"/>
      <c r="AE705" s="5"/>
      <c r="AF705" s="5"/>
      <c r="AG705" s="6"/>
      <c r="AH705" s="6"/>
      <c r="AI705" s="6"/>
      <c r="AJ705" s="7"/>
      <c r="AK705" s="7"/>
      <c r="AL705" s="6"/>
      <c r="AM705" s="6"/>
      <c r="AN705" s="8"/>
      <c r="AO705" s="8"/>
      <c r="AP705" s="8"/>
      <c r="AQ705" s="8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9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>
      <c r="A706" s="2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5"/>
      <c r="AD706" s="5"/>
      <c r="AE706" s="5"/>
      <c r="AF706" s="5"/>
      <c r="AG706" s="6"/>
      <c r="AH706" s="6"/>
      <c r="AI706" s="6"/>
      <c r="AJ706" s="7"/>
      <c r="AK706" s="7"/>
      <c r="AL706" s="6"/>
      <c r="AM706" s="6"/>
      <c r="AN706" s="8"/>
      <c r="AO706" s="8"/>
      <c r="AP706" s="8"/>
      <c r="AQ706" s="8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9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>
      <c r="A707" s="2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5"/>
      <c r="AD707" s="5"/>
      <c r="AE707" s="5"/>
      <c r="AF707" s="5"/>
      <c r="AG707" s="6"/>
      <c r="AH707" s="6"/>
      <c r="AI707" s="6"/>
      <c r="AJ707" s="7"/>
      <c r="AK707" s="7"/>
      <c r="AL707" s="6"/>
      <c r="AM707" s="6"/>
      <c r="AN707" s="8"/>
      <c r="AO707" s="8"/>
      <c r="AP707" s="8"/>
      <c r="AQ707" s="8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9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>
      <c r="A708" s="2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5"/>
      <c r="AD708" s="5"/>
      <c r="AE708" s="5"/>
      <c r="AF708" s="5"/>
      <c r="AG708" s="6"/>
      <c r="AH708" s="6"/>
      <c r="AI708" s="6"/>
      <c r="AJ708" s="7"/>
      <c r="AK708" s="7"/>
      <c r="AL708" s="6"/>
      <c r="AM708" s="6"/>
      <c r="AN708" s="8"/>
      <c r="AO708" s="8"/>
      <c r="AP708" s="8"/>
      <c r="AQ708" s="8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9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>
      <c r="A709" s="2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5"/>
      <c r="AD709" s="5"/>
      <c r="AE709" s="5"/>
      <c r="AF709" s="5"/>
      <c r="AG709" s="6"/>
      <c r="AH709" s="6"/>
      <c r="AI709" s="6"/>
      <c r="AJ709" s="7"/>
      <c r="AK709" s="7"/>
      <c r="AL709" s="6"/>
      <c r="AM709" s="6"/>
      <c r="AN709" s="8"/>
      <c r="AO709" s="8"/>
      <c r="AP709" s="8"/>
      <c r="AQ709" s="8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9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>
      <c r="A710" s="2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5"/>
      <c r="AD710" s="5"/>
      <c r="AE710" s="5"/>
      <c r="AF710" s="5"/>
      <c r="AG710" s="6"/>
      <c r="AH710" s="6"/>
      <c r="AI710" s="6"/>
      <c r="AJ710" s="7"/>
      <c r="AK710" s="7"/>
      <c r="AL710" s="6"/>
      <c r="AM710" s="6"/>
      <c r="AN710" s="8"/>
      <c r="AO710" s="8"/>
      <c r="AP710" s="8"/>
      <c r="AQ710" s="8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9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>
      <c r="A711" s="2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5"/>
      <c r="AD711" s="5"/>
      <c r="AE711" s="5"/>
      <c r="AF711" s="5"/>
      <c r="AG711" s="6"/>
      <c r="AH711" s="6"/>
      <c r="AI711" s="6"/>
      <c r="AJ711" s="7"/>
      <c r="AK711" s="7"/>
      <c r="AL711" s="6"/>
      <c r="AM711" s="6"/>
      <c r="AN711" s="8"/>
      <c r="AO711" s="8"/>
      <c r="AP711" s="8"/>
      <c r="AQ711" s="8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9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>
      <c r="A712" s="2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5"/>
      <c r="AD712" s="5"/>
      <c r="AE712" s="5"/>
      <c r="AF712" s="5"/>
      <c r="AG712" s="6"/>
      <c r="AH712" s="6"/>
      <c r="AI712" s="6"/>
      <c r="AJ712" s="7"/>
      <c r="AK712" s="7"/>
      <c r="AL712" s="6"/>
      <c r="AM712" s="6"/>
      <c r="AN712" s="8"/>
      <c r="AO712" s="8"/>
      <c r="AP712" s="8"/>
      <c r="AQ712" s="8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9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>
      <c r="A713" s="2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5"/>
      <c r="AD713" s="5"/>
      <c r="AE713" s="5"/>
      <c r="AF713" s="5"/>
      <c r="AG713" s="6"/>
      <c r="AH713" s="6"/>
      <c r="AI713" s="6"/>
      <c r="AJ713" s="7"/>
      <c r="AK713" s="7"/>
      <c r="AL713" s="6"/>
      <c r="AM713" s="6"/>
      <c r="AN713" s="8"/>
      <c r="AO713" s="8"/>
      <c r="AP713" s="8"/>
      <c r="AQ713" s="8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9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>
      <c r="A714" s="2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5"/>
      <c r="AD714" s="5"/>
      <c r="AE714" s="5"/>
      <c r="AF714" s="5"/>
      <c r="AG714" s="6"/>
      <c r="AH714" s="6"/>
      <c r="AI714" s="6"/>
      <c r="AJ714" s="7"/>
      <c r="AK714" s="7"/>
      <c r="AL714" s="6"/>
      <c r="AM714" s="6"/>
      <c r="AN714" s="8"/>
      <c r="AO714" s="8"/>
      <c r="AP714" s="8"/>
      <c r="AQ714" s="8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9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>
      <c r="A715" s="2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5"/>
      <c r="AD715" s="5"/>
      <c r="AE715" s="5"/>
      <c r="AF715" s="5"/>
      <c r="AG715" s="6"/>
      <c r="AH715" s="6"/>
      <c r="AI715" s="6"/>
      <c r="AJ715" s="7"/>
      <c r="AK715" s="7"/>
      <c r="AL715" s="6"/>
      <c r="AM715" s="6"/>
      <c r="AN715" s="8"/>
      <c r="AO715" s="8"/>
      <c r="AP715" s="8"/>
      <c r="AQ715" s="8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9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>
      <c r="A716" s="2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5"/>
      <c r="AD716" s="5"/>
      <c r="AE716" s="5"/>
      <c r="AF716" s="5"/>
      <c r="AG716" s="6"/>
      <c r="AH716" s="6"/>
      <c r="AI716" s="6"/>
      <c r="AJ716" s="7"/>
      <c r="AK716" s="7"/>
      <c r="AL716" s="6"/>
      <c r="AM716" s="6"/>
      <c r="AN716" s="8"/>
      <c r="AO716" s="8"/>
      <c r="AP716" s="8"/>
      <c r="AQ716" s="8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9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>
      <c r="A717" s="2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5"/>
      <c r="AD717" s="5"/>
      <c r="AE717" s="5"/>
      <c r="AF717" s="5"/>
      <c r="AG717" s="6"/>
      <c r="AH717" s="6"/>
      <c r="AI717" s="6"/>
      <c r="AJ717" s="7"/>
      <c r="AK717" s="7"/>
      <c r="AL717" s="6"/>
      <c r="AM717" s="6"/>
      <c r="AN717" s="8"/>
      <c r="AO717" s="8"/>
      <c r="AP717" s="8"/>
      <c r="AQ717" s="8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9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>
      <c r="A718" s="2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5"/>
      <c r="AD718" s="5"/>
      <c r="AE718" s="5"/>
      <c r="AF718" s="5"/>
      <c r="AG718" s="6"/>
      <c r="AH718" s="6"/>
      <c r="AI718" s="6"/>
      <c r="AJ718" s="7"/>
      <c r="AK718" s="7"/>
      <c r="AL718" s="6"/>
      <c r="AM718" s="6"/>
      <c r="AN718" s="8"/>
      <c r="AO718" s="8"/>
      <c r="AP718" s="8"/>
      <c r="AQ718" s="8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9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>
      <c r="A719" s="2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5"/>
      <c r="AD719" s="5"/>
      <c r="AE719" s="5"/>
      <c r="AF719" s="5"/>
      <c r="AG719" s="6"/>
      <c r="AH719" s="6"/>
      <c r="AI719" s="6"/>
      <c r="AJ719" s="7"/>
      <c r="AK719" s="7"/>
      <c r="AL719" s="6"/>
      <c r="AM719" s="6"/>
      <c r="AN719" s="8"/>
      <c r="AO719" s="8"/>
      <c r="AP719" s="8"/>
      <c r="AQ719" s="8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9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>
      <c r="A720" s="2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5"/>
      <c r="AD720" s="5"/>
      <c r="AE720" s="5"/>
      <c r="AF720" s="5"/>
      <c r="AG720" s="6"/>
      <c r="AH720" s="6"/>
      <c r="AI720" s="6"/>
      <c r="AJ720" s="7"/>
      <c r="AK720" s="7"/>
      <c r="AL720" s="6"/>
      <c r="AM720" s="6"/>
      <c r="AN720" s="8"/>
      <c r="AO720" s="8"/>
      <c r="AP720" s="8"/>
      <c r="AQ720" s="8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9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>
      <c r="A721" s="2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5"/>
      <c r="AD721" s="5"/>
      <c r="AE721" s="5"/>
      <c r="AF721" s="5"/>
      <c r="AG721" s="6"/>
      <c r="AH721" s="6"/>
      <c r="AI721" s="6"/>
      <c r="AJ721" s="7"/>
      <c r="AK721" s="7"/>
      <c r="AL721" s="6"/>
      <c r="AM721" s="6"/>
      <c r="AN721" s="8"/>
      <c r="AO721" s="8"/>
      <c r="AP721" s="8"/>
      <c r="AQ721" s="8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9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>
      <c r="A722" s="2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5"/>
      <c r="AD722" s="5"/>
      <c r="AE722" s="5"/>
      <c r="AF722" s="5"/>
      <c r="AG722" s="6"/>
      <c r="AH722" s="6"/>
      <c r="AI722" s="6"/>
      <c r="AJ722" s="7"/>
      <c r="AK722" s="7"/>
      <c r="AL722" s="6"/>
      <c r="AM722" s="6"/>
      <c r="AN722" s="8"/>
      <c r="AO722" s="8"/>
      <c r="AP722" s="8"/>
      <c r="AQ722" s="8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9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>
      <c r="A723" s="2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5"/>
      <c r="AD723" s="5"/>
      <c r="AE723" s="5"/>
      <c r="AF723" s="5"/>
      <c r="AG723" s="6"/>
      <c r="AH723" s="6"/>
      <c r="AI723" s="6"/>
      <c r="AJ723" s="7"/>
      <c r="AK723" s="7"/>
      <c r="AL723" s="6"/>
      <c r="AM723" s="6"/>
      <c r="AN723" s="8"/>
      <c r="AO723" s="8"/>
      <c r="AP723" s="8"/>
      <c r="AQ723" s="8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9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>
      <c r="A724" s="2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5"/>
      <c r="AD724" s="5"/>
      <c r="AE724" s="5"/>
      <c r="AF724" s="5"/>
      <c r="AG724" s="6"/>
      <c r="AH724" s="6"/>
      <c r="AI724" s="6"/>
      <c r="AJ724" s="7"/>
      <c r="AK724" s="7"/>
      <c r="AL724" s="6"/>
      <c r="AM724" s="6"/>
      <c r="AN724" s="8"/>
      <c r="AO724" s="8"/>
      <c r="AP724" s="8"/>
      <c r="AQ724" s="8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9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>
      <c r="A725" s="2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5"/>
      <c r="AD725" s="5"/>
      <c r="AE725" s="5"/>
      <c r="AF725" s="5"/>
      <c r="AG725" s="6"/>
      <c r="AH725" s="6"/>
      <c r="AI725" s="6"/>
      <c r="AJ725" s="7"/>
      <c r="AK725" s="7"/>
      <c r="AL725" s="6"/>
      <c r="AM725" s="6"/>
      <c r="AN725" s="8"/>
      <c r="AO725" s="8"/>
      <c r="AP725" s="8"/>
      <c r="AQ725" s="8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9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>
      <c r="A726" s="2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5"/>
      <c r="AD726" s="5"/>
      <c r="AE726" s="5"/>
      <c r="AF726" s="5"/>
      <c r="AG726" s="6"/>
      <c r="AH726" s="6"/>
      <c r="AI726" s="6"/>
      <c r="AJ726" s="7"/>
      <c r="AK726" s="7"/>
      <c r="AL726" s="6"/>
      <c r="AM726" s="6"/>
      <c r="AN726" s="8"/>
      <c r="AO726" s="8"/>
      <c r="AP726" s="8"/>
      <c r="AQ726" s="8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9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>
      <c r="A727" s="2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5"/>
      <c r="AD727" s="5"/>
      <c r="AE727" s="5"/>
      <c r="AF727" s="5"/>
      <c r="AG727" s="6"/>
      <c r="AH727" s="6"/>
      <c r="AI727" s="6"/>
      <c r="AJ727" s="7"/>
      <c r="AK727" s="7"/>
      <c r="AL727" s="6"/>
      <c r="AM727" s="6"/>
      <c r="AN727" s="8"/>
      <c r="AO727" s="8"/>
      <c r="AP727" s="8"/>
      <c r="AQ727" s="8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9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>
      <c r="A728" s="2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5"/>
      <c r="AD728" s="5"/>
      <c r="AE728" s="5"/>
      <c r="AF728" s="5"/>
      <c r="AG728" s="6"/>
      <c r="AH728" s="6"/>
      <c r="AI728" s="6"/>
      <c r="AJ728" s="7"/>
      <c r="AK728" s="7"/>
      <c r="AL728" s="6"/>
      <c r="AM728" s="6"/>
      <c r="AN728" s="8"/>
      <c r="AO728" s="8"/>
      <c r="AP728" s="8"/>
      <c r="AQ728" s="8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9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>
      <c r="A729" s="2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5"/>
      <c r="AD729" s="5"/>
      <c r="AE729" s="5"/>
      <c r="AF729" s="5"/>
      <c r="AG729" s="6"/>
      <c r="AH729" s="6"/>
      <c r="AI729" s="6"/>
      <c r="AJ729" s="7"/>
      <c r="AK729" s="7"/>
      <c r="AL729" s="6"/>
      <c r="AM729" s="6"/>
      <c r="AN729" s="8"/>
      <c r="AO729" s="8"/>
      <c r="AP729" s="8"/>
      <c r="AQ729" s="8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9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>
      <c r="A730" s="2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5"/>
      <c r="AD730" s="5"/>
      <c r="AE730" s="5"/>
      <c r="AF730" s="5"/>
      <c r="AG730" s="6"/>
      <c r="AH730" s="6"/>
      <c r="AI730" s="6"/>
      <c r="AJ730" s="7"/>
      <c r="AK730" s="7"/>
      <c r="AL730" s="6"/>
      <c r="AM730" s="6"/>
      <c r="AN730" s="8"/>
      <c r="AO730" s="8"/>
      <c r="AP730" s="8"/>
      <c r="AQ730" s="8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9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>
      <c r="A731" s="2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5"/>
      <c r="AD731" s="5"/>
      <c r="AE731" s="5"/>
      <c r="AF731" s="5"/>
      <c r="AG731" s="6"/>
      <c r="AH731" s="6"/>
      <c r="AI731" s="6"/>
      <c r="AJ731" s="7"/>
      <c r="AK731" s="7"/>
      <c r="AL731" s="6"/>
      <c r="AM731" s="6"/>
      <c r="AN731" s="8"/>
      <c r="AO731" s="8"/>
      <c r="AP731" s="8"/>
      <c r="AQ731" s="8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9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>
      <c r="A732" s="2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5"/>
      <c r="AD732" s="5"/>
      <c r="AE732" s="5"/>
      <c r="AF732" s="5"/>
      <c r="AG732" s="6"/>
      <c r="AH732" s="6"/>
      <c r="AI732" s="6"/>
      <c r="AJ732" s="7"/>
      <c r="AK732" s="7"/>
      <c r="AL732" s="6"/>
      <c r="AM732" s="6"/>
      <c r="AN732" s="8"/>
      <c r="AO732" s="8"/>
      <c r="AP732" s="8"/>
      <c r="AQ732" s="8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9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>
      <c r="A733" s="2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5"/>
      <c r="AD733" s="5"/>
      <c r="AE733" s="5"/>
      <c r="AF733" s="5"/>
      <c r="AG733" s="6"/>
      <c r="AH733" s="6"/>
      <c r="AI733" s="6"/>
      <c r="AJ733" s="7"/>
      <c r="AK733" s="7"/>
      <c r="AL733" s="6"/>
      <c r="AM733" s="6"/>
      <c r="AN733" s="8"/>
      <c r="AO733" s="8"/>
      <c r="AP733" s="8"/>
      <c r="AQ733" s="8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9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>
      <c r="A734" s="2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5"/>
      <c r="AD734" s="5"/>
      <c r="AE734" s="5"/>
      <c r="AF734" s="5"/>
      <c r="AG734" s="6"/>
      <c r="AH734" s="6"/>
      <c r="AI734" s="6"/>
      <c r="AJ734" s="7"/>
      <c r="AK734" s="7"/>
      <c r="AL734" s="6"/>
      <c r="AM734" s="6"/>
      <c r="AN734" s="8"/>
      <c r="AO734" s="8"/>
      <c r="AP734" s="8"/>
      <c r="AQ734" s="8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9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>
      <c r="A735" s="2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5"/>
      <c r="AD735" s="5"/>
      <c r="AE735" s="5"/>
      <c r="AF735" s="5"/>
      <c r="AG735" s="6"/>
      <c r="AH735" s="6"/>
      <c r="AI735" s="6"/>
      <c r="AJ735" s="7"/>
      <c r="AK735" s="7"/>
      <c r="AL735" s="6"/>
      <c r="AM735" s="6"/>
      <c r="AN735" s="8"/>
      <c r="AO735" s="8"/>
      <c r="AP735" s="8"/>
      <c r="AQ735" s="8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9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>
      <c r="A736" s="2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5"/>
      <c r="AD736" s="5"/>
      <c r="AE736" s="5"/>
      <c r="AF736" s="5"/>
      <c r="AG736" s="6"/>
      <c r="AH736" s="6"/>
      <c r="AI736" s="6"/>
      <c r="AJ736" s="7"/>
      <c r="AK736" s="7"/>
      <c r="AL736" s="6"/>
      <c r="AM736" s="6"/>
      <c r="AN736" s="8"/>
      <c r="AO736" s="8"/>
      <c r="AP736" s="8"/>
      <c r="AQ736" s="8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9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>
      <c r="A737" s="2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5"/>
      <c r="AD737" s="5"/>
      <c r="AE737" s="5"/>
      <c r="AF737" s="5"/>
      <c r="AG737" s="6"/>
      <c r="AH737" s="6"/>
      <c r="AI737" s="6"/>
      <c r="AJ737" s="7"/>
      <c r="AK737" s="7"/>
      <c r="AL737" s="6"/>
      <c r="AM737" s="6"/>
      <c r="AN737" s="8"/>
      <c r="AO737" s="8"/>
      <c r="AP737" s="8"/>
      <c r="AQ737" s="8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9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>
      <c r="A738" s="2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5"/>
      <c r="AD738" s="5"/>
      <c r="AE738" s="5"/>
      <c r="AF738" s="5"/>
      <c r="AG738" s="6"/>
      <c r="AH738" s="6"/>
      <c r="AI738" s="6"/>
      <c r="AJ738" s="7"/>
      <c r="AK738" s="7"/>
      <c r="AL738" s="6"/>
      <c r="AM738" s="6"/>
      <c r="AN738" s="8"/>
      <c r="AO738" s="8"/>
      <c r="AP738" s="8"/>
      <c r="AQ738" s="8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9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>
      <c r="A739" s="2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5"/>
      <c r="AD739" s="5"/>
      <c r="AE739" s="5"/>
      <c r="AF739" s="5"/>
      <c r="AG739" s="6"/>
      <c r="AH739" s="6"/>
      <c r="AI739" s="6"/>
      <c r="AJ739" s="7"/>
      <c r="AK739" s="7"/>
      <c r="AL739" s="6"/>
      <c r="AM739" s="6"/>
      <c r="AN739" s="8"/>
      <c r="AO739" s="8"/>
      <c r="AP739" s="8"/>
      <c r="AQ739" s="8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9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>
      <c r="A740" s="2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5"/>
      <c r="AD740" s="5"/>
      <c r="AE740" s="5"/>
      <c r="AF740" s="5"/>
      <c r="AG740" s="6"/>
      <c r="AH740" s="6"/>
      <c r="AI740" s="6"/>
      <c r="AJ740" s="7"/>
      <c r="AK740" s="7"/>
      <c r="AL740" s="6"/>
      <c r="AM740" s="6"/>
      <c r="AN740" s="8"/>
      <c r="AO740" s="8"/>
      <c r="AP740" s="8"/>
      <c r="AQ740" s="8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9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>
      <c r="A741" s="2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5"/>
      <c r="AD741" s="5"/>
      <c r="AE741" s="5"/>
      <c r="AF741" s="5"/>
      <c r="AG741" s="6"/>
      <c r="AH741" s="6"/>
      <c r="AI741" s="6"/>
      <c r="AJ741" s="7"/>
      <c r="AK741" s="7"/>
      <c r="AL741" s="6"/>
      <c r="AM741" s="6"/>
      <c r="AN741" s="8"/>
      <c r="AO741" s="8"/>
      <c r="AP741" s="8"/>
      <c r="AQ741" s="8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9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>
      <c r="A742" s="2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5"/>
      <c r="AD742" s="5"/>
      <c r="AE742" s="5"/>
      <c r="AF742" s="5"/>
      <c r="AG742" s="6"/>
      <c r="AH742" s="6"/>
      <c r="AI742" s="6"/>
      <c r="AJ742" s="7"/>
      <c r="AK742" s="7"/>
      <c r="AL742" s="6"/>
      <c r="AM742" s="6"/>
      <c r="AN742" s="8"/>
      <c r="AO742" s="8"/>
      <c r="AP742" s="8"/>
      <c r="AQ742" s="8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9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>
      <c r="A743" s="2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5"/>
      <c r="AD743" s="5"/>
      <c r="AE743" s="5"/>
      <c r="AF743" s="5"/>
      <c r="AG743" s="6"/>
      <c r="AH743" s="6"/>
      <c r="AI743" s="6"/>
      <c r="AJ743" s="7"/>
      <c r="AK743" s="7"/>
      <c r="AL743" s="6"/>
      <c r="AM743" s="6"/>
      <c r="AN743" s="8"/>
      <c r="AO743" s="8"/>
      <c r="AP743" s="8"/>
      <c r="AQ743" s="8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9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>
      <c r="A744" s="2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5"/>
      <c r="AD744" s="5"/>
      <c r="AE744" s="5"/>
      <c r="AF744" s="5"/>
      <c r="AG744" s="6"/>
      <c r="AH744" s="6"/>
      <c r="AI744" s="6"/>
      <c r="AJ744" s="7"/>
      <c r="AK744" s="7"/>
      <c r="AL744" s="6"/>
      <c r="AM744" s="6"/>
      <c r="AN744" s="8"/>
      <c r="AO744" s="8"/>
      <c r="AP744" s="8"/>
      <c r="AQ744" s="8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9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>
      <c r="A745" s="2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5"/>
      <c r="AD745" s="5"/>
      <c r="AE745" s="5"/>
      <c r="AF745" s="5"/>
      <c r="AG745" s="6"/>
      <c r="AH745" s="6"/>
      <c r="AI745" s="6"/>
      <c r="AJ745" s="7"/>
      <c r="AK745" s="7"/>
      <c r="AL745" s="6"/>
      <c r="AM745" s="6"/>
      <c r="AN745" s="8"/>
      <c r="AO745" s="8"/>
      <c r="AP745" s="8"/>
      <c r="AQ745" s="8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9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>
      <c r="A746" s="2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5"/>
      <c r="AD746" s="5"/>
      <c r="AE746" s="5"/>
      <c r="AF746" s="5"/>
      <c r="AG746" s="6"/>
      <c r="AH746" s="6"/>
      <c r="AI746" s="6"/>
      <c r="AJ746" s="7"/>
      <c r="AK746" s="7"/>
      <c r="AL746" s="6"/>
      <c r="AM746" s="6"/>
      <c r="AN746" s="8"/>
      <c r="AO746" s="8"/>
      <c r="AP746" s="8"/>
      <c r="AQ746" s="8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9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>
      <c r="A747" s="2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5"/>
      <c r="AD747" s="5"/>
      <c r="AE747" s="5"/>
      <c r="AF747" s="5"/>
      <c r="AG747" s="6"/>
      <c r="AH747" s="6"/>
      <c r="AI747" s="6"/>
      <c r="AJ747" s="7"/>
      <c r="AK747" s="7"/>
      <c r="AL747" s="6"/>
      <c r="AM747" s="6"/>
      <c r="AN747" s="8"/>
      <c r="AO747" s="8"/>
      <c r="AP747" s="8"/>
      <c r="AQ747" s="8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9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>
      <c r="A748" s="2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5"/>
      <c r="AD748" s="5"/>
      <c r="AE748" s="5"/>
      <c r="AF748" s="5"/>
      <c r="AG748" s="6"/>
      <c r="AH748" s="6"/>
      <c r="AI748" s="6"/>
      <c r="AJ748" s="7"/>
      <c r="AK748" s="7"/>
      <c r="AL748" s="6"/>
      <c r="AM748" s="6"/>
      <c r="AN748" s="8"/>
      <c r="AO748" s="8"/>
      <c r="AP748" s="8"/>
      <c r="AQ748" s="8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9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>
      <c r="A749" s="2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5"/>
      <c r="AD749" s="5"/>
      <c r="AE749" s="5"/>
      <c r="AF749" s="5"/>
      <c r="AG749" s="6"/>
      <c r="AH749" s="6"/>
      <c r="AI749" s="6"/>
      <c r="AJ749" s="7"/>
      <c r="AK749" s="7"/>
      <c r="AL749" s="6"/>
      <c r="AM749" s="6"/>
      <c r="AN749" s="8"/>
      <c r="AO749" s="8"/>
      <c r="AP749" s="8"/>
      <c r="AQ749" s="8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9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>
      <c r="A750" s="2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5"/>
      <c r="AD750" s="5"/>
      <c r="AE750" s="5"/>
      <c r="AF750" s="5"/>
      <c r="AG750" s="6"/>
      <c r="AH750" s="6"/>
      <c r="AI750" s="6"/>
      <c r="AJ750" s="7"/>
      <c r="AK750" s="7"/>
      <c r="AL750" s="6"/>
      <c r="AM750" s="6"/>
      <c r="AN750" s="8"/>
      <c r="AO750" s="8"/>
      <c r="AP750" s="8"/>
      <c r="AQ750" s="8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9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>
      <c r="A751" s="2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5"/>
      <c r="AD751" s="5"/>
      <c r="AE751" s="5"/>
      <c r="AF751" s="5"/>
      <c r="AG751" s="6"/>
      <c r="AH751" s="6"/>
      <c r="AI751" s="6"/>
      <c r="AJ751" s="7"/>
      <c r="AK751" s="7"/>
      <c r="AL751" s="6"/>
      <c r="AM751" s="6"/>
      <c r="AN751" s="8"/>
      <c r="AO751" s="8"/>
      <c r="AP751" s="8"/>
      <c r="AQ751" s="8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9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>
      <c r="A752" s="2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5"/>
      <c r="AD752" s="5"/>
      <c r="AE752" s="5"/>
      <c r="AF752" s="5"/>
      <c r="AG752" s="6"/>
      <c r="AH752" s="6"/>
      <c r="AI752" s="6"/>
      <c r="AJ752" s="7"/>
      <c r="AK752" s="7"/>
      <c r="AL752" s="6"/>
      <c r="AM752" s="6"/>
      <c r="AN752" s="8"/>
      <c r="AO752" s="8"/>
      <c r="AP752" s="8"/>
      <c r="AQ752" s="8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9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>
      <c r="A753" s="2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5"/>
      <c r="AD753" s="5"/>
      <c r="AE753" s="5"/>
      <c r="AF753" s="5"/>
      <c r="AG753" s="6"/>
      <c r="AH753" s="6"/>
      <c r="AI753" s="6"/>
      <c r="AJ753" s="7"/>
      <c r="AK753" s="7"/>
      <c r="AL753" s="6"/>
      <c r="AM753" s="6"/>
      <c r="AN753" s="8"/>
      <c r="AO753" s="8"/>
      <c r="AP753" s="8"/>
      <c r="AQ753" s="8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9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>
      <c r="A754" s="2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5"/>
      <c r="AD754" s="5"/>
      <c r="AE754" s="5"/>
      <c r="AF754" s="5"/>
      <c r="AG754" s="6"/>
      <c r="AH754" s="6"/>
      <c r="AI754" s="6"/>
      <c r="AJ754" s="7"/>
      <c r="AK754" s="7"/>
      <c r="AL754" s="6"/>
      <c r="AM754" s="6"/>
      <c r="AN754" s="8"/>
      <c r="AO754" s="8"/>
      <c r="AP754" s="8"/>
      <c r="AQ754" s="8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9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>
      <c r="A755" s="2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5"/>
      <c r="AD755" s="5"/>
      <c r="AE755" s="5"/>
      <c r="AF755" s="5"/>
      <c r="AG755" s="6"/>
      <c r="AH755" s="6"/>
      <c r="AI755" s="6"/>
      <c r="AJ755" s="7"/>
      <c r="AK755" s="7"/>
      <c r="AL755" s="6"/>
      <c r="AM755" s="6"/>
      <c r="AN755" s="8"/>
      <c r="AO755" s="8"/>
      <c r="AP755" s="8"/>
      <c r="AQ755" s="8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9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>
      <c r="A756" s="2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5"/>
      <c r="AD756" s="5"/>
      <c r="AE756" s="5"/>
      <c r="AF756" s="5"/>
      <c r="AG756" s="6"/>
      <c r="AH756" s="6"/>
      <c r="AI756" s="6"/>
      <c r="AJ756" s="7"/>
      <c r="AK756" s="7"/>
      <c r="AL756" s="6"/>
      <c r="AM756" s="6"/>
      <c r="AN756" s="8"/>
      <c r="AO756" s="8"/>
      <c r="AP756" s="8"/>
      <c r="AQ756" s="8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9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>
      <c r="A757" s="2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5"/>
      <c r="AD757" s="5"/>
      <c r="AE757" s="5"/>
      <c r="AF757" s="5"/>
      <c r="AG757" s="6"/>
      <c r="AH757" s="6"/>
      <c r="AI757" s="6"/>
      <c r="AJ757" s="7"/>
      <c r="AK757" s="7"/>
      <c r="AL757" s="6"/>
      <c r="AM757" s="6"/>
      <c r="AN757" s="8"/>
      <c r="AO757" s="8"/>
      <c r="AP757" s="8"/>
      <c r="AQ757" s="8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9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>
      <c r="A758" s="2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5"/>
      <c r="AD758" s="5"/>
      <c r="AE758" s="5"/>
      <c r="AF758" s="5"/>
      <c r="AG758" s="6"/>
      <c r="AH758" s="6"/>
      <c r="AI758" s="6"/>
      <c r="AJ758" s="7"/>
      <c r="AK758" s="7"/>
      <c r="AL758" s="6"/>
      <c r="AM758" s="6"/>
      <c r="AN758" s="8"/>
      <c r="AO758" s="8"/>
      <c r="AP758" s="8"/>
      <c r="AQ758" s="8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9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>
      <c r="A759" s="2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5"/>
      <c r="AD759" s="5"/>
      <c r="AE759" s="5"/>
      <c r="AF759" s="5"/>
      <c r="AG759" s="6"/>
      <c r="AH759" s="6"/>
      <c r="AI759" s="6"/>
      <c r="AJ759" s="7"/>
      <c r="AK759" s="7"/>
      <c r="AL759" s="6"/>
      <c r="AM759" s="6"/>
      <c r="AN759" s="8"/>
      <c r="AO759" s="8"/>
      <c r="AP759" s="8"/>
      <c r="AQ759" s="8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9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>
      <c r="A760" s="2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5"/>
      <c r="AD760" s="5"/>
      <c r="AE760" s="5"/>
      <c r="AF760" s="5"/>
      <c r="AG760" s="6"/>
      <c r="AH760" s="6"/>
      <c r="AI760" s="6"/>
      <c r="AJ760" s="7"/>
      <c r="AK760" s="7"/>
      <c r="AL760" s="6"/>
      <c r="AM760" s="6"/>
      <c r="AN760" s="8"/>
      <c r="AO760" s="8"/>
      <c r="AP760" s="8"/>
      <c r="AQ760" s="8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9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>
      <c r="A761" s="2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5"/>
      <c r="AD761" s="5"/>
      <c r="AE761" s="5"/>
      <c r="AF761" s="5"/>
      <c r="AG761" s="6"/>
      <c r="AH761" s="6"/>
      <c r="AI761" s="6"/>
      <c r="AJ761" s="7"/>
      <c r="AK761" s="7"/>
      <c r="AL761" s="6"/>
      <c r="AM761" s="6"/>
      <c r="AN761" s="8"/>
      <c r="AO761" s="8"/>
      <c r="AP761" s="8"/>
      <c r="AQ761" s="8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9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>
      <c r="A762" s="2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5"/>
      <c r="AD762" s="5"/>
      <c r="AE762" s="5"/>
      <c r="AF762" s="5"/>
      <c r="AG762" s="6"/>
      <c r="AH762" s="6"/>
      <c r="AI762" s="6"/>
      <c r="AJ762" s="7"/>
      <c r="AK762" s="7"/>
      <c r="AL762" s="6"/>
      <c r="AM762" s="6"/>
      <c r="AN762" s="8"/>
      <c r="AO762" s="8"/>
      <c r="AP762" s="8"/>
      <c r="AQ762" s="8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9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>
      <c r="A763" s="2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5"/>
      <c r="AD763" s="5"/>
      <c r="AE763" s="5"/>
      <c r="AF763" s="5"/>
      <c r="AG763" s="6"/>
      <c r="AH763" s="6"/>
      <c r="AI763" s="6"/>
      <c r="AJ763" s="7"/>
      <c r="AK763" s="7"/>
      <c r="AL763" s="6"/>
      <c r="AM763" s="6"/>
      <c r="AN763" s="8"/>
      <c r="AO763" s="8"/>
      <c r="AP763" s="8"/>
      <c r="AQ763" s="8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9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>
      <c r="A764" s="2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5"/>
      <c r="AD764" s="5"/>
      <c r="AE764" s="5"/>
      <c r="AF764" s="5"/>
      <c r="AG764" s="6"/>
      <c r="AH764" s="6"/>
      <c r="AI764" s="6"/>
      <c r="AJ764" s="7"/>
      <c r="AK764" s="7"/>
      <c r="AL764" s="6"/>
      <c r="AM764" s="6"/>
      <c r="AN764" s="8"/>
      <c r="AO764" s="8"/>
      <c r="AP764" s="8"/>
      <c r="AQ764" s="8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9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>
      <c r="A765" s="2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5"/>
      <c r="AD765" s="5"/>
      <c r="AE765" s="5"/>
      <c r="AF765" s="5"/>
      <c r="AG765" s="6"/>
      <c r="AH765" s="6"/>
      <c r="AI765" s="6"/>
      <c r="AJ765" s="7"/>
      <c r="AK765" s="7"/>
      <c r="AL765" s="6"/>
      <c r="AM765" s="6"/>
      <c r="AN765" s="8"/>
      <c r="AO765" s="8"/>
      <c r="AP765" s="8"/>
      <c r="AQ765" s="8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9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>
      <c r="A766" s="2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5"/>
      <c r="AD766" s="5"/>
      <c r="AE766" s="5"/>
      <c r="AF766" s="5"/>
      <c r="AG766" s="6"/>
      <c r="AH766" s="6"/>
      <c r="AI766" s="6"/>
      <c r="AJ766" s="7"/>
      <c r="AK766" s="7"/>
      <c r="AL766" s="6"/>
      <c r="AM766" s="6"/>
      <c r="AN766" s="8"/>
      <c r="AO766" s="8"/>
      <c r="AP766" s="8"/>
      <c r="AQ766" s="8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9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>
      <c r="A767" s="2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5"/>
      <c r="AD767" s="5"/>
      <c r="AE767" s="5"/>
      <c r="AF767" s="5"/>
      <c r="AG767" s="6"/>
      <c r="AH767" s="6"/>
      <c r="AI767" s="6"/>
      <c r="AJ767" s="7"/>
      <c r="AK767" s="7"/>
      <c r="AL767" s="6"/>
      <c r="AM767" s="6"/>
      <c r="AN767" s="8"/>
      <c r="AO767" s="8"/>
      <c r="AP767" s="8"/>
      <c r="AQ767" s="8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9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>
      <c r="A768" s="2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5"/>
      <c r="AD768" s="5"/>
      <c r="AE768" s="5"/>
      <c r="AF768" s="5"/>
      <c r="AG768" s="6"/>
      <c r="AH768" s="6"/>
      <c r="AI768" s="6"/>
      <c r="AJ768" s="7"/>
      <c r="AK768" s="7"/>
      <c r="AL768" s="6"/>
      <c r="AM768" s="6"/>
      <c r="AN768" s="8"/>
      <c r="AO768" s="8"/>
      <c r="AP768" s="8"/>
      <c r="AQ768" s="8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9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>
      <c r="A769" s="2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5"/>
      <c r="AD769" s="5"/>
      <c r="AE769" s="5"/>
      <c r="AF769" s="5"/>
      <c r="AG769" s="6"/>
      <c r="AH769" s="6"/>
      <c r="AI769" s="6"/>
      <c r="AJ769" s="7"/>
      <c r="AK769" s="7"/>
      <c r="AL769" s="6"/>
      <c r="AM769" s="6"/>
      <c r="AN769" s="8"/>
      <c r="AO769" s="8"/>
      <c r="AP769" s="8"/>
      <c r="AQ769" s="8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9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>
      <c r="A770" s="2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5"/>
      <c r="AD770" s="5"/>
      <c r="AE770" s="5"/>
      <c r="AF770" s="5"/>
      <c r="AG770" s="6"/>
      <c r="AH770" s="6"/>
      <c r="AI770" s="6"/>
      <c r="AJ770" s="7"/>
      <c r="AK770" s="7"/>
      <c r="AL770" s="6"/>
      <c r="AM770" s="6"/>
      <c r="AN770" s="8"/>
      <c r="AO770" s="8"/>
      <c r="AP770" s="8"/>
      <c r="AQ770" s="8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9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>
      <c r="A771" s="2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5"/>
      <c r="AD771" s="5"/>
      <c r="AE771" s="5"/>
      <c r="AF771" s="5"/>
      <c r="AG771" s="6"/>
      <c r="AH771" s="6"/>
      <c r="AI771" s="6"/>
      <c r="AJ771" s="7"/>
      <c r="AK771" s="7"/>
      <c r="AL771" s="6"/>
      <c r="AM771" s="6"/>
      <c r="AN771" s="8"/>
      <c r="AO771" s="8"/>
      <c r="AP771" s="8"/>
      <c r="AQ771" s="8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9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>
      <c r="A772" s="2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5"/>
      <c r="AD772" s="5"/>
      <c r="AE772" s="5"/>
      <c r="AF772" s="5"/>
      <c r="AG772" s="6"/>
      <c r="AH772" s="6"/>
      <c r="AI772" s="6"/>
      <c r="AJ772" s="7"/>
      <c r="AK772" s="7"/>
      <c r="AL772" s="6"/>
      <c r="AM772" s="6"/>
      <c r="AN772" s="8"/>
      <c r="AO772" s="8"/>
      <c r="AP772" s="8"/>
      <c r="AQ772" s="8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9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>
      <c r="A773" s="2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5"/>
      <c r="AD773" s="5"/>
      <c r="AE773" s="5"/>
      <c r="AF773" s="5"/>
      <c r="AG773" s="6"/>
      <c r="AH773" s="6"/>
      <c r="AI773" s="6"/>
      <c r="AJ773" s="7"/>
      <c r="AK773" s="7"/>
      <c r="AL773" s="6"/>
      <c r="AM773" s="6"/>
      <c r="AN773" s="8"/>
      <c r="AO773" s="8"/>
      <c r="AP773" s="8"/>
      <c r="AQ773" s="8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9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>
      <c r="A774" s="2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5"/>
      <c r="AD774" s="5"/>
      <c r="AE774" s="5"/>
      <c r="AF774" s="5"/>
      <c r="AG774" s="6"/>
      <c r="AH774" s="6"/>
      <c r="AI774" s="6"/>
      <c r="AJ774" s="7"/>
      <c r="AK774" s="7"/>
      <c r="AL774" s="6"/>
      <c r="AM774" s="6"/>
      <c r="AN774" s="8"/>
      <c r="AO774" s="8"/>
      <c r="AP774" s="8"/>
      <c r="AQ774" s="8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9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>
      <c r="A775" s="2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5"/>
      <c r="AD775" s="5"/>
      <c r="AE775" s="5"/>
      <c r="AF775" s="5"/>
      <c r="AG775" s="6"/>
      <c r="AH775" s="6"/>
      <c r="AI775" s="6"/>
      <c r="AJ775" s="7"/>
      <c r="AK775" s="7"/>
      <c r="AL775" s="6"/>
      <c r="AM775" s="6"/>
      <c r="AN775" s="8"/>
      <c r="AO775" s="8"/>
      <c r="AP775" s="8"/>
      <c r="AQ775" s="8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9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>
      <c r="A776" s="2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5"/>
      <c r="AD776" s="5"/>
      <c r="AE776" s="5"/>
      <c r="AF776" s="5"/>
      <c r="AG776" s="6"/>
      <c r="AH776" s="6"/>
      <c r="AI776" s="6"/>
      <c r="AJ776" s="7"/>
      <c r="AK776" s="7"/>
      <c r="AL776" s="6"/>
      <c r="AM776" s="6"/>
      <c r="AN776" s="8"/>
      <c r="AO776" s="8"/>
      <c r="AP776" s="8"/>
      <c r="AQ776" s="8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9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>
      <c r="A777" s="2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5"/>
      <c r="AD777" s="5"/>
      <c r="AE777" s="5"/>
      <c r="AF777" s="5"/>
      <c r="AG777" s="6"/>
      <c r="AH777" s="6"/>
      <c r="AI777" s="6"/>
      <c r="AJ777" s="7"/>
      <c r="AK777" s="7"/>
      <c r="AL777" s="6"/>
      <c r="AM777" s="6"/>
      <c r="AN777" s="8"/>
      <c r="AO777" s="8"/>
      <c r="AP777" s="8"/>
      <c r="AQ777" s="8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9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>
      <c r="A778" s="2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5"/>
      <c r="AD778" s="5"/>
      <c r="AE778" s="5"/>
      <c r="AF778" s="5"/>
      <c r="AG778" s="6"/>
      <c r="AH778" s="6"/>
      <c r="AI778" s="6"/>
      <c r="AJ778" s="7"/>
      <c r="AK778" s="7"/>
      <c r="AL778" s="6"/>
      <c r="AM778" s="6"/>
      <c r="AN778" s="8"/>
      <c r="AO778" s="8"/>
      <c r="AP778" s="8"/>
      <c r="AQ778" s="8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9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>
      <c r="A779" s="2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5"/>
      <c r="AD779" s="5"/>
      <c r="AE779" s="5"/>
      <c r="AF779" s="5"/>
      <c r="AG779" s="6"/>
      <c r="AH779" s="6"/>
      <c r="AI779" s="6"/>
      <c r="AJ779" s="7"/>
      <c r="AK779" s="7"/>
      <c r="AL779" s="6"/>
      <c r="AM779" s="6"/>
      <c r="AN779" s="8"/>
      <c r="AO779" s="8"/>
      <c r="AP779" s="8"/>
      <c r="AQ779" s="8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9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>
      <c r="A780" s="2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5"/>
      <c r="AD780" s="5"/>
      <c r="AE780" s="5"/>
      <c r="AF780" s="5"/>
      <c r="AG780" s="6"/>
      <c r="AH780" s="6"/>
      <c r="AI780" s="6"/>
      <c r="AJ780" s="7"/>
      <c r="AK780" s="7"/>
      <c r="AL780" s="6"/>
      <c r="AM780" s="6"/>
      <c r="AN780" s="8"/>
      <c r="AO780" s="8"/>
      <c r="AP780" s="8"/>
      <c r="AQ780" s="8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9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>
      <c r="A781" s="2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5"/>
      <c r="AD781" s="5"/>
      <c r="AE781" s="5"/>
      <c r="AF781" s="5"/>
      <c r="AG781" s="6"/>
      <c r="AH781" s="6"/>
      <c r="AI781" s="6"/>
      <c r="AJ781" s="7"/>
      <c r="AK781" s="7"/>
      <c r="AL781" s="6"/>
      <c r="AM781" s="6"/>
      <c r="AN781" s="8"/>
      <c r="AO781" s="8"/>
      <c r="AP781" s="8"/>
      <c r="AQ781" s="8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9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>
      <c r="A782" s="2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5"/>
      <c r="AD782" s="5"/>
      <c r="AE782" s="5"/>
      <c r="AF782" s="5"/>
      <c r="AG782" s="6"/>
      <c r="AH782" s="6"/>
      <c r="AI782" s="6"/>
      <c r="AJ782" s="7"/>
      <c r="AK782" s="7"/>
      <c r="AL782" s="6"/>
      <c r="AM782" s="6"/>
      <c r="AN782" s="8"/>
      <c r="AO782" s="8"/>
      <c r="AP782" s="8"/>
      <c r="AQ782" s="8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9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>
      <c r="A783" s="2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5"/>
      <c r="AD783" s="5"/>
      <c r="AE783" s="5"/>
      <c r="AF783" s="5"/>
      <c r="AG783" s="6"/>
      <c r="AH783" s="6"/>
      <c r="AI783" s="6"/>
      <c r="AJ783" s="7"/>
      <c r="AK783" s="7"/>
      <c r="AL783" s="6"/>
      <c r="AM783" s="6"/>
      <c r="AN783" s="8"/>
      <c r="AO783" s="8"/>
      <c r="AP783" s="8"/>
      <c r="AQ783" s="8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9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>
      <c r="A784" s="2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5"/>
      <c r="AD784" s="5"/>
      <c r="AE784" s="5"/>
      <c r="AF784" s="5"/>
      <c r="AG784" s="6"/>
      <c r="AH784" s="6"/>
      <c r="AI784" s="6"/>
      <c r="AJ784" s="7"/>
      <c r="AK784" s="7"/>
      <c r="AL784" s="6"/>
      <c r="AM784" s="6"/>
      <c r="AN784" s="8"/>
      <c r="AO784" s="8"/>
      <c r="AP784" s="8"/>
      <c r="AQ784" s="8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9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>
      <c r="A785" s="2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5"/>
      <c r="AD785" s="5"/>
      <c r="AE785" s="5"/>
      <c r="AF785" s="5"/>
      <c r="AG785" s="6"/>
      <c r="AH785" s="6"/>
      <c r="AI785" s="6"/>
      <c r="AJ785" s="7"/>
      <c r="AK785" s="7"/>
      <c r="AL785" s="6"/>
      <c r="AM785" s="6"/>
      <c r="AN785" s="8"/>
      <c r="AO785" s="8"/>
      <c r="AP785" s="8"/>
      <c r="AQ785" s="8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9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>
      <c r="A786" s="2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5"/>
      <c r="AD786" s="5"/>
      <c r="AE786" s="5"/>
      <c r="AF786" s="5"/>
      <c r="AG786" s="6"/>
      <c r="AH786" s="6"/>
      <c r="AI786" s="6"/>
      <c r="AJ786" s="7"/>
      <c r="AK786" s="7"/>
      <c r="AL786" s="6"/>
      <c r="AM786" s="6"/>
      <c r="AN786" s="8"/>
      <c r="AO786" s="8"/>
      <c r="AP786" s="8"/>
      <c r="AQ786" s="8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9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>
      <c r="A787" s="2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5"/>
      <c r="AD787" s="5"/>
      <c r="AE787" s="5"/>
      <c r="AF787" s="5"/>
      <c r="AG787" s="6"/>
      <c r="AH787" s="6"/>
      <c r="AI787" s="6"/>
      <c r="AJ787" s="7"/>
      <c r="AK787" s="7"/>
      <c r="AL787" s="6"/>
      <c r="AM787" s="6"/>
      <c r="AN787" s="8"/>
      <c r="AO787" s="8"/>
      <c r="AP787" s="8"/>
      <c r="AQ787" s="8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9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>
      <c r="A788" s="2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5"/>
      <c r="AD788" s="5"/>
      <c r="AE788" s="5"/>
      <c r="AF788" s="5"/>
      <c r="AG788" s="6"/>
      <c r="AH788" s="6"/>
      <c r="AI788" s="6"/>
      <c r="AJ788" s="7"/>
      <c r="AK788" s="7"/>
      <c r="AL788" s="6"/>
      <c r="AM788" s="6"/>
      <c r="AN788" s="8"/>
      <c r="AO788" s="8"/>
      <c r="AP788" s="8"/>
      <c r="AQ788" s="8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9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>
      <c r="A789" s="2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5"/>
      <c r="AD789" s="5"/>
      <c r="AE789" s="5"/>
      <c r="AF789" s="5"/>
      <c r="AG789" s="6"/>
      <c r="AH789" s="6"/>
      <c r="AI789" s="6"/>
      <c r="AJ789" s="7"/>
      <c r="AK789" s="7"/>
      <c r="AL789" s="6"/>
      <c r="AM789" s="6"/>
      <c r="AN789" s="8"/>
      <c r="AO789" s="8"/>
      <c r="AP789" s="8"/>
      <c r="AQ789" s="8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9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>
      <c r="A790" s="2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5"/>
      <c r="AD790" s="5"/>
      <c r="AE790" s="5"/>
      <c r="AF790" s="5"/>
      <c r="AG790" s="6"/>
      <c r="AH790" s="6"/>
      <c r="AI790" s="6"/>
      <c r="AJ790" s="7"/>
      <c r="AK790" s="7"/>
      <c r="AL790" s="6"/>
      <c r="AM790" s="6"/>
      <c r="AN790" s="8"/>
      <c r="AO790" s="8"/>
      <c r="AP790" s="8"/>
      <c r="AQ790" s="8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9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>
      <c r="A791" s="2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5"/>
      <c r="AD791" s="5"/>
      <c r="AE791" s="5"/>
      <c r="AF791" s="5"/>
      <c r="AG791" s="6"/>
      <c r="AH791" s="6"/>
      <c r="AI791" s="6"/>
      <c r="AJ791" s="7"/>
      <c r="AK791" s="7"/>
      <c r="AL791" s="6"/>
      <c r="AM791" s="6"/>
      <c r="AN791" s="8"/>
      <c r="AO791" s="8"/>
      <c r="AP791" s="8"/>
      <c r="AQ791" s="8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9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>
      <c r="A792" s="2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5"/>
      <c r="AD792" s="5"/>
      <c r="AE792" s="5"/>
      <c r="AF792" s="5"/>
      <c r="AG792" s="6"/>
      <c r="AH792" s="6"/>
      <c r="AI792" s="6"/>
      <c r="AJ792" s="7"/>
      <c r="AK792" s="7"/>
      <c r="AL792" s="6"/>
      <c r="AM792" s="6"/>
      <c r="AN792" s="8"/>
      <c r="AO792" s="8"/>
      <c r="AP792" s="8"/>
      <c r="AQ792" s="8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9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>
      <c r="A793" s="2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5"/>
      <c r="AD793" s="5"/>
      <c r="AE793" s="5"/>
      <c r="AF793" s="5"/>
      <c r="AG793" s="6"/>
      <c r="AH793" s="6"/>
      <c r="AI793" s="6"/>
      <c r="AJ793" s="7"/>
      <c r="AK793" s="7"/>
      <c r="AL793" s="6"/>
      <c r="AM793" s="6"/>
      <c r="AN793" s="8"/>
      <c r="AO793" s="8"/>
      <c r="AP793" s="8"/>
      <c r="AQ793" s="8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9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>
      <c r="A794" s="2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5"/>
      <c r="AD794" s="5"/>
      <c r="AE794" s="5"/>
      <c r="AF794" s="5"/>
      <c r="AG794" s="6"/>
      <c r="AH794" s="6"/>
      <c r="AI794" s="6"/>
      <c r="AJ794" s="7"/>
      <c r="AK794" s="7"/>
      <c r="AL794" s="6"/>
      <c r="AM794" s="6"/>
      <c r="AN794" s="8"/>
      <c r="AO794" s="8"/>
      <c r="AP794" s="8"/>
      <c r="AQ794" s="8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9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>
      <c r="A795" s="2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5"/>
      <c r="AD795" s="5"/>
      <c r="AE795" s="5"/>
      <c r="AF795" s="5"/>
      <c r="AG795" s="6"/>
      <c r="AH795" s="6"/>
      <c r="AI795" s="6"/>
      <c r="AJ795" s="7"/>
      <c r="AK795" s="7"/>
      <c r="AL795" s="6"/>
      <c r="AM795" s="6"/>
      <c r="AN795" s="8"/>
      <c r="AO795" s="8"/>
      <c r="AP795" s="8"/>
      <c r="AQ795" s="8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9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>
      <c r="A796" s="2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5"/>
      <c r="AD796" s="5"/>
      <c r="AE796" s="5"/>
      <c r="AF796" s="5"/>
      <c r="AG796" s="6"/>
      <c r="AH796" s="6"/>
      <c r="AI796" s="6"/>
      <c r="AJ796" s="7"/>
      <c r="AK796" s="7"/>
      <c r="AL796" s="6"/>
      <c r="AM796" s="6"/>
      <c r="AN796" s="8"/>
      <c r="AO796" s="8"/>
      <c r="AP796" s="8"/>
      <c r="AQ796" s="8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9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>
      <c r="A797" s="2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5"/>
      <c r="AD797" s="5"/>
      <c r="AE797" s="5"/>
      <c r="AF797" s="5"/>
      <c r="AG797" s="6"/>
      <c r="AH797" s="6"/>
      <c r="AI797" s="6"/>
      <c r="AJ797" s="7"/>
      <c r="AK797" s="7"/>
      <c r="AL797" s="6"/>
      <c r="AM797" s="6"/>
      <c r="AN797" s="8"/>
      <c r="AO797" s="8"/>
      <c r="AP797" s="8"/>
      <c r="AQ797" s="8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9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>
      <c r="A798" s="2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5"/>
      <c r="AD798" s="5"/>
      <c r="AE798" s="5"/>
      <c r="AF798" s="5"/>
      <c r="AG798" s="6"/>
      <c r="AH798" s="6"/>
      <c r="AI798" s="6"/>
      <c r="AJ798" s="7"/>
      <c r="AK798" s="7"/>
      <c r="AL798" s="6"/>
      <c r="AM798" s="6"/>
      <c r="AN798" s="8"/>
      <c r="AO798" s="8"/>
      <c r="AP798" s="8"/>
      <c r="AQ798" s="8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9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>
      <c r="A799" s="2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5"/>
      <c r="AD799" s="5"/>
      <c r="AE799" s="5"/>
      <c r="AF799" s="5"/>
      <c r="AG799" s="6"/>
      <c r="AH799" s="6"/>
      <c r="AI799" s="6"/>
      <c r="AJ799" s="7"/>
      <c r="AK799" s="7"/>
      <c r="AL799" s="6"/>
      <c r="AM799" s="6"/>
      <c r="AN799" s="8"/>
      <c r="AO799" s="8"/>
      <c r="AP799" s="8"/>
      <c r="AQ799" s="8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9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>
      <c r="A800" s="2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5"/>
      <c r="AD800" s="5"/>
      <c r="AE800" s="5"/>
      <c r="AF800" s="5"/>
      <c r="AG800" s="6"/>
      <c r="AH800" s="6"/>
      <c r="AI800" s="6"/>
      <c r="AJ800" s="7"/>
      <c r="AK800" s="7"/>
      <c r="AL800" s="6"/>
      <c r="AM800" s="6"/>
      <c r="AN800" s="8"/>
      <c r="AO800" s="8"/>
      <c r="AP800" s="8"/>
      <c r="AQ800" s="8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9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>
      <c r="A801" s="2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5"/>
      <c r="AD801" s="5"/>
      <c r="AE801" s="5"/>
      <c r="AF801" s="5"/>
      <c r="AG801" s="6"/>
      <c r="AH801" s="6"/>
      <c r="AI801" s="6"/>
      <c r="AJ801" s="7"/>
      <c r="AK801" s="7"/>
      <c r="AL801" s="6"/>
      <c r="AM801" s="6"/>
      <c r="AN801" s="8"/>
      <c r="AO801" s="8"/>
      <c r="AP801" s="8"/>
      <c r="AQ801" s="8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9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>
      <c r="A802" s="2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5"/>
      <c r="AD802" s="5"/>
      <c r="AE802" s="5"/>
      <c r="AF802" s="5"/>
      <c r="AG802" s="6"/>
      <c r="AH802" s="6"/>
      <c r="AI802" s="6"/>
      <c r="AJ802" s="7"/>
      <c r="AK802" s="7"/>
      <c r="AL802" s="6"/>
      <c r="AM802" s="6"/>
      <c r="AN802" s="8"/>
      <c r="AO802" s="8"/>
      <c r="AP802" s="8"/>
      <c r="AQ802" s="8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9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>
      <c r="A803" s="2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5"/>
      <c r="AD803" s="5"/>
      <c r="AE803" s="5"/>
      <c r="AF803" s="5"/>
      <c r="AG803" s="6"/>
      <c r="AH803" s="6"/>
      <c r="AI803" s="6"/>
      <c r="AJ803" s="7"/>
      <c r="AK803" s="7"/>
      <c r="AL803" s="6"/>
      <c r="AM803" s="6"/>
      <c r="AN803" s="8"/>
      <c r="AO803" s="8"/>
      <c r="AP803" s="8"/>
      <c r="AQ803" s="8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9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>
      <c r="A804" s="2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5"/>
      <c r="AD804" s="5"/>
      <c r="AE804" s="5"/>
      <c r="AF804" s="5"/>
      <c r="AG804" s="6"/>
      <c r="AH804" s="6"/>
      <c r="AI804" s="6"/>
      <c r="AJ804" s="7"/>
      <c r="AK804" s="7"/>
      <c r="AL804" s="6"/>
      <c r="AM804" s="6"/>
      <c r="AN804" s="8"/>
      <c r="AO804" s="8"/>
      <c r="AP804" s="8"/>
      <c r="AQ804" s="8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9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>
      <c r="A805" s="2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5"/>
      <c r="AD805" s="5"/>
      <c r="AE805" s="5"/>
      <c r="AF805" s="5"/>
      <c r="AG805" s="6"/>
      <c r="AH805" s="6"/>
      <c r="AI805" s="6"/>
      <c r="AJ805" s="7"/>
      <c r="AK805" s="7"/>
      <c r="AL805" s="6"/>
      <c r="AM805" s="6"/>
      <c r="AN805" s="8"/>
      <c r="AO805" s="8"/>
      <c r="AP805" s="8"/>
      <c r="AQ805" s="8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9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>
      <c r="A806" s="2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5"/>
      <c r="AD806" s="5"/>
      <c r="AE806" s="5"/>
      <c r="AF806" s="5"/>
      <c r="AG806" s="6"/>
      <c r="AH806" s="6"/>
      <c r="AI806" s="6"/>
      <c r="AJ806" s="7"/>
      <c r="AK806" s="7"/>
      <c r="AL806" s="6"/>
      <c r="AM806" s="6"/>
      <c r="AN806" s="8"/>
      <c r="AO806" s="8"/>
      <c r="AP806" s="8"/>
      <c r="AQ806" s="8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9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>
      <c r="A807" s="2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5"/>
      <c r="AD807" s="5"/>
      <c r="AE807" s="5"/>
      <c r="AF807" s="5"/>
      <c r="AG807" s="6"/>
      <c r="AH807" s="6"/>
      <c r="AI807" s="6"/>
      <c r="AJ807" s="7"/>
      <c r="AK807" s="7"/>
      <c r="AL807" s="6"/>
      <c r="AM807" s="6"/>
      <c r="AN807" s="8"/>
      <c r="AO807" s="8"/>
      <c r="AP807" s="8"/>
      <c r="AQ807" s="8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9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>
      <c r="A808" s="2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5"/>
      <c r="AD808" s="5"/>
      <c r="AE808" s="5"/>
      <c r="AF808" s="5"/>
      <c r="AG808" s="6"/>
      <c r="AH808" s="6"/>
      <c r="AI808" s="6"/>
      <c r="AJ808" s="7"/>
      <c r="AK808" s="7"/>
      <c r="AL808" s="6"/>
      <c r="AM808" s="6"/>
      <c r="AN808" s="8"/>
      <c r="AO808" s="8"/>
      <c r="AP808" s="8"/>
      <c r="AQ808" s="8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9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>
      <c r="A809" s="2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5"/>
      <c r="AD809" s="5"/>
      <c r="AE809" s="5"/>
      <c r="AF809" s="5"/>
      <c r="AG809" s="6"/>
      <c r="AH809" s="6"/>
      <c r="AI809" s="6"/>
      <c r="AJ809" s="7"/>
      <c r="AK809" s="7"/>
      <c r="AL809" s="6"/>
      <c r="AM809" s="6"/>
      <c r="AN809" s="8"/>
      <c r="AO809" s="8"/>
      <c r="AP809" s="8"/>
      <c r="AQ809" s="8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9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>
      <c r="A810" s="2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5"/>
      <c r="AD810" s="5"/>
      <c r="AE810" s="5"/>
      <c r="AF810" s="5"/>
      <c r="AG810" s="6"/>
      <c r="AH810" s="6"/>
      <c r="AI810" s="6"/>
      <c r="AJ810" s="7"/>
      <c r="AK810" s="7"/>
      <c r="AL810" s="6"/>
      <c r="AM810" s="6"/>
      <c r="AN810" s="8"/>
      <c r="AO810" s="8"/>
      <c r="AP810" s="8"/>
      <c r="AQ810" s="8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9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>
      <c r="A811" s="2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5"/>
      <c r="AD811" s="5"/>
      <c r="AE811" s="5"/>
      <c r="AF811" s="5"/>
      <c r="AG811" s="6"/>
      <c r="AH811" s="6"/>
      <c r="AI811" s="6"/>
      <c r="AJ811" s="7"/>
      <c r="AK811" s="7"/>
      <c r="AL811" s="6"/>
      <c r="AM811" s="6"/>
      <c r="AN811" s="8"/>
      <c r="AO811" s="8"/>
      <c r="AP811" s="8"/>
      <c r="AQ811" s="8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9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>
      <c r="A812" s="2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5"/>
      <c r="AD812" s="5"/>
      <c r="AE812" s="5"/>
      <c r="AF812" s="5"/>
      <c r="AG812" s="6"/>
      <c r="AH812" s="6"/>
      <c r="AI812" s="6"/>
      <c r="AJ812" s="7"/>
      <c r="AK812" s="7"/>
      <c r="AL812" s="6"/>
      <c r="AM812" s="6"/>
      <c r="AN812" s="8"/>
      <c r="AO812" s="8"/>
      <c r="AP812" s="8"/>
      <c r="AQ812" s="8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9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>
      <c r="A813" s="2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5"/>
      <c r="AD813" s="5"/>
      <c r="AE813" s="5"/>
      <c r="AF813" s="5"/>
      <c r="AG813" s="6"/>
      <c r="AH813" s="6"/>
      <c r="AI813" s="6"/>
      <c r="AJ813" s="7"/>
      <c r="AK813" s="7"/>
      <c r="AL813" s="6"/>
      <c r="AM813" s="6"/>
      <c r="AN813" s="8"/>
      <c r="AO813" s="8"/>
      <c r="AP813" s="8"/>
      <c r="AQ813" s="8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9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>
      <c r="A814" s="2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5"/>
      <c r="AD814" s="5"/>
      <c r="AE814" s="5"/>
      <c r="AF814" s="5"/>
      <c r="AG814" s="6"/>
      <c r="AH814" s="6"/>
      <c r="AI814" s="6"/>
      <c r="AJ814" s="7"/>
      <c r="AK814" s="7"/>
      <c r="AL814" s="6"/>
      <c r="AM814" s="6"/>
      <c r="AN814" s="8"/>
      <c r="AO814" s="8"/>
      <c r="AP814" s="8"/>
      <c r="AQ814" s="8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9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>
      <c r="A815" s="2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5"/>
      <c r="AD815" s="5"/>
      <c r="AE815" s="5"/>
      <c r="AF815" s="5"/>
      <c r="AG815" s="6"/>
      <c r="AH815" s="6"/>
      <c r="AI815" s="6"/>
      <c r="AJ815" s="7"/>
      <c r="AK815" s="7"/>
      <c r="AL815" s="6"/>
      <c r="AM815" s="6"/>
      <c r="AN815" s="8"/>
      <c r="AO815" s="8"/>
      <c r="AP815" s="8"/>
      <c r="AQ815" s="8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9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>
      <c r="A816" s="2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5"/>
      <c r="AD816" s="5"/>
      <c r="AE816" s="5"/>
      <c r="AF816" s="5"/>
      <c r="AG816" s="6"/>
      <c r="AH816" s="6"/>
      <c r="AI816" s="6"/>
      <c r="AJ816" s="7"/>
      <c r="AK816" s="7"/>
      <c r="AL816" s="6"/>
      <c r="AM816" s="6"/>
      <c r="AN816" s="8"/>
      <c r="AO816" s="8"/>
      <c r="AP816" s="8"/>
      <c r="AQ816" s="8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9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>
      <c r="A817" s="2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5"/>
      <c r="AD817" s="5"/>
      <c r="AE817" s="5"/>
      <c r="AF817" s="5"/>
      <c r="AG817" s="6"/>
      <c r="AH817" s="6"/>
      <c r="AI817" s="6"/>
      <c r="AJ817" s="7"/>
      <c r="AK817" s="7"/>
      <c r="AL817" s="6"/>
      <c r="AM817" s="6"/>
      <c r="AN817" s="8"/>
      <c r="AO817" s="8"/>
      <c r="AP817" s="8"/>
      <c r="AQ817" s="8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9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>
      <c r="A818" s="2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5"/>
      <c r="AD818" s="5"/>
      <c r="AE818" s="5"/>
      <c r="AF818" s="5"/>
      <c r="AG818" s="6"/>
      <c r="AH818" s="6"/>
      <c r="AI818" s="6"/>
      <c r="AJ818" s="7"/>
      <c r="AK818" s="7"/>
      <c r="AL818" s="6"/>
      <c r="AM818" s="6"/>
      <c r="AN818" s="8"/>
      <c r="AO818" s="8"/>
      <c r="AP818" s="8"/>
      <c r="AQ818" s="8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9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>
      <c r="A819" s="2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5"/>
      <c r="AD819" s="5"/>
      <c r="AE819" s="5"/>
      <c r="AF819" s="5"/>
      <c r="AG819" s="6"/>
      <c r="AH819" s="6"/>
      <c r="AI819" s="6"/>
      <c r="AJ819" s="7"/>
      <c r="AK819" s="7"/>
      <c r="AL819" s="6"/>
      <c r="AM819" s="6"/>
      <c r="AN819" s="8"/>
      <c r="AO819" s="8"/>
      <c r="AP819" s="8"/>
      <c r="AQ819" s="8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9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>
      <c r="A820" s="2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5"/>
      <c r="AD820" s="5"/>
      <c r="AE820" s="5"/>
      <c r="AF820" s="5"/>
      <c r="AG820" s="6"/>
      <c r="AH820" s="6"/>
      <c r="AI820" s="6"/>
      <c r="AJ820" s="7"/>
      <c r="AK820" s="7"/>
      <c r="AL820" s="6"/>
      <c r="AM820" s="6"/>
      <c r="AN820" s="8"/>
      <c r="AO820" s="8"/>
      <c r="AP820" s="8"/>
      <c r="AQ820" s="8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9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>
      <c r="A821" s="2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5"/>
      <c r="AD821" s="5"/>
      <c r="AE821" s="5"/>
      <c r="AF821" s="5"/>
      <c r="AG821" s="6"/>
      <c r="AH821" s="6"/>
      <c r="AI821" s="6"/>
      <c r="AJ821" s="7"/>
      <c r="AK821" s="7"/>
      <c r="AL821" s="6"/>
      <c r="AM821" s="6"/>
      <c r="AN821" s="8"/>
      <c r="AO821" s="8"/>
      <c r="AP821" s="8"/>
      <c r="AQ821" s="8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9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>
      <c r="A822" s="2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5"/>
      <c r="AD822" s="5"/>
      <c r="AE822" s="5"/>
      <c r="AF822" s="5"/>
      <c r="AG822" s="6"/>
      <c r="AH822" s="6"/>
      <c r="AI822" s="6"/>
      <c r="AJ822" s="7"/>
      <c r="AK822" s="7"/>
      <c r="AL822" s="6"/>
      <c r="AM822" s="6"/>
      <c r="AN822" s="8"/>
      <c r="AO822" s="8"/>
      <c r="AP822" s="8"/>
      <c r="AQ822" s="8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9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>
      <c r="A823" s="2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5"/>
      <c r="AD823" s="5"/>
      <c r="AE823" s="5"/>
      <c r="AF823" s="5"/>
      <c r="AG823" s="6"/>
      <c r="AH823" s="6"/>
      <c r="AI823" s="6"/>
      <c r="AJ823" s="7"/>
      <c r="AK823" s="7"/>
      <c r="AL823" s="6"/>
      <c r="AM823" s="6"/>
      <c r="AN823" s="8"/>
      <c r="AO823" s="8"/>
      <c r="AP823" s="8"/>
      <c r="AQ823" s="8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9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>
      <c r="A824" s="2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5"/>
      <c r="AD824" s="5"/>
      <c r="AE824" s="5"/>
      <c r="AF824" s="5"/>
      <c r="AG824" s="6"/>
      <c r="AH824" s="6"/>
      <c r="AI824" s="6"/>
      <c r="AJ824" s="7"/>
      <c r="AK824" s="7"/>
      <c r="AL824" s="6"/>
      <c r="AM824" s="6"/>
      <c r="AN824" s="8"/>
      <c r="AO824" s="8"/>
      <c r="AP824" s="8"/>
      <c r="AQ824" s="8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9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>
      <c r="A825" s="2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5"/>
      <c r="AD825" s="5"/>
      <c r="AE825" s="5"/>
      <c r="AF825" s="5"/>
      <c r="AG825" s="6"/>
      <c r="AH825" s="6"/>
      <c r="AI825" s="6"/>
      <c r="AJ825" s="7"/>
      <c r="AK825" s="7"/>
      <c r="AL825" s="6"/>
      <c r="AM825" s="6"/>
      <c r="AN825" s="8"/>
      <c r="AO825" s="8"/>
      <c r="AP825" s="8"/>
      <c r="AQ825" s="8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9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>
      <c r="A826" s="2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5"/>
      <c r="AD826" s="5"/>
      <c r="AE826" s="5"/>
      <c r="AF826" s="5"/>
      <c r="AG826" s="6"/>
      <c r="AH826" s="6"/>
      <c r="AI826" s="6"/>
      <c r="AJ826" s="7"/>
      <c r="AK826" s="7"/>
      <c r="AL826" s="6"/>
      <c r="AM826" s="6"/>
      <c r="AN826" s="8"/>
      <c r="AO826" s="8"/>
      <c r="AP826" s="8"/>
      <c r="AQ826" s="8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9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>
      <c r="A827" s="2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5"/>
      <c r="AD827" s="5"/>
      <c r="AE827" s="5"/>
      <c r="AF827" s="5"/>
      <c r="AG827" s="6"/>
      <c r="AH827" s="6"/>
      <c r="AI827" s="6"/>
      <c r="AJ827" s="7"/>
      <c r="AK827" s="7"/>
      <c r="AL827" s="6"/>
      <c r="AM827" s="6"/>
      <c r="AN827" s="8"/>
      <c r="AO827" s="8"/>
      <c r="AP827" s="8"/>
      <c r="AQ827" s="8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9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>
      <c r="A828" s="2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5"/>
      <c r="AD828" s="5"/>
      <c r="AE828" s="5"/>
      <c r="AF828" s="5"/>
      <c r="AG828" s="6"/>
      <c r="AH828" s="6"/>
      <c r="AI828" s="6"/>
      <c r="AJ828" s="7"/>
      <c r="AK828" s="7"/>
      <c r="AL828" s="6"/>
      <c r="AM828" s="6"/>
      <c r="AN828" s="8"/>
      <c r="AO828" s="8"/>
      <c r="AP828" s="8"/>
      <c r="AQ828" s="8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9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>
      <c r="A829" s="2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5"/>
      <c r="AD829" s="5"/>
      <c r="AE829" s="5"/>
      <c r="AF829" s="5"/>
      <c r="AG829" s="6"/>
      <c r="AH829" s="6"/>
      <c r="AI829" s="6"/>
      <c r="AJ829" s="7"/>
      <c r="AK829" s="7"/>
      <c r="AL829" s="6"/>
      <c r="AM829" s="6"/>
      <c r="AN829" s="8"/>
      <c r="AO829" s="8"/>
      <c r="AP829" s="8"/>
      <c r="AQ829" s="8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9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>
      <c r="A830" s="2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5"/>
      <c r="AD830" s="5"/>
      <c r="AE830" s="5"/>
      <c r="AF830" s="5"/>
      <c r="AG830" s="6"/>
      <c r="AH830" s="6"/>
      <c r="AI830" s="6"/>
      <c r="AJ830" s="7"/>
      <c r="AK830" s="7"/>
      <c r="AL830" s="6"/>
      <c r="AM830" s="6"/>
      <c r="AN830" s="8"/>
      <c r="AO830" s="8"/>
      <c r="AP830" s="8"/>
      <c r="AQ830" s="8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9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>
      <c r="A831" s="2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5"/>
      <c r="AD831" s="5"/>
      <c r="AE831" s="5"/>
      <c r="AF831" s="5"/>
      <c r="AG831" s="6"/>
      <c r="AH831" s="6"/>
      <c r="AI831" s="6"/>
      <c r="AJ831" s="7"/>
      <c r="AK831" s="7"/>
      <c r="AL831" s="6"/>
      <c r="AM831" s="6"/>
      <c r="AN831" s="8"/>
      <c r="AO831" s="8"/>
      <c r="AP831" s="8"/>
      <c r="AQ831" s="8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9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>
      <c r="A832" s="2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5"/>
      <c r="AD832" s="5"/>
      <c r="AE832" s="5"/>
      <c r="AF832" s="5"/>
      <c r="AG832" s="6"/>
      <c r="AH832" s="6"/>
      <c r="AI832" s="6"/>
      <c r="AJ832" s="7"/>
      <c r="AK832" s="7"/>
      <c r="AL832" s="6"/>
      <c r="AM832" s="6"/>
      <c r="AN832" s="8"/>
      <c r="AO832" s="8"/>
      <c r="AP832" s="8"/>
      <c r="AQ832" s="8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9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>
      <c r="A833" s="2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5"/>
      <c r="AD833" s="5"/>
      <c r="AE833" s="5"/>
      <c r="AF833" s="5"/>
      <c r="AG833" s="6"/>
      <c r="AH833" s="6"/>
      <c r="AI833" s="6"/>
      <c r="AJ833" s="7"/>
      <c r="AK833" s="7"/>
      <c r="AL833" s="6"/>
      <c r="AM833" s="6"/>
      <c r="AN833" s="8"/>
      <c r="AO833" s="8"/>
      <c r="AP833" s="8"/>
      <c r="AQ833" s="8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9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>
      <c r="A834" s="2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5"/>
      <c r="AD834" s="5"/>
      <c r="AE834" s="5"/>
      <c r="AF834" s="5"/>
      <c r="AG834" s="6"/>
      <c r="AH834" s="6"/>
      <c r="AI834" s="6"/>
      <c r="AJ834" s="7"/>
      <c r="AK834" s="7"/>
      <c r="AL834" s="6"/>
      <c r="AM834" s="6"/>
      <c r="AN834" s="8"/>
      <c r="AO834" s="8"/>
      <c r="AP834" s="8"/>
      <c r="AQ834" s="8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9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>
      <c r="A835" s="2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5"/>
      <c r="AD835" s="5"/>
      <c r="AE835" s="5"/>
      <c r="AF835" s="5"/>
      <c r="AG835" s="6"/>
      <c r="AH835" s="6"/>
      <c r="AI835" s="6"/>
      <c r="AJ835" s="7"/>
      <c r="AK835" s="7"/>
      <c r="AL835" s="6"/>
      <c r="AM835" s="6"/>
      <c r="AN835" s="8"/>
      <c r="AO835" s="8"/>
      <c r="AP835" s="8"/>
      <c r="AQ835" s="8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9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>
      <c r="A836" s="2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5"/>
      <c r="AD836" s="5"/>
      <c r="AE836" s="5"/>
      <c r="AF836" s="5"/>
      <c r="AG836" s="6"/>
      <c r="AH836" s="6"/>
      <c r="AI836" s="6"/>
      <c r="AJ836" s="7"/>
      <c r="AK836" s="7"/>
      <c r="AL836" s="6"/>
      <c r="AM836" s="6"/>
      <c r="AN836" s="8"/>
      <c r="AO836" s="8"/>
      <c r="AP836" s="8"/>
      <c r="AQ836" s="8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9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>
      <c r="A837" s="2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5"/>
      <c r="AD837" s="5"/>
      <c r="AE837" s="5"/>
      <c r="AF837" s="5"/>
      <c r="AG837" s="6"/>
      <c r="AH837" s="6"/>
      <c r="AI837" s="6"/>
      <c r="AJ837" s="7"/>
      <c r="AK837" s="7"/>
      <c r="AL837" s="6"/>
      <c r="AM837" s="6"/>
      <c r="AN837" s="8"/>
      <c r="AO837" s="8"/>
      <c r="AP837" s="8"/>
      <c r="AQ837" s="8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9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>
      <c r="A838" s="2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5"/>
      <c r="AD838" s="5"/>
      <c r="AE838" s="5"/>
      <c r="AF838" s="5"/>
      <c r="AG838" s="6"/>
      <c r="AH838" s="6"/>
      <c r="AI838" s="6"/>
      <c r="AJ838" s="7"/>
      <c r="AK838" s="7"/>
      <c r="AL838" s="6"/>
      <c r="AM838" s="6"/>
      <c r="AN838" s="8"/>
      <c r="AO838" s="8"/>
      <c r="AP838" s="8"/>
      <c r="AQ838" s="8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9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>
      <c r="A839" s="2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5"/>
      <c r="AD839" s="5"/>
      <c r="AE839" s="5"/>
      <c r="AF839" s="5"/>
      <c r="AG839" s="6"/>
      <c r="AH839" s="6"/>
      <c r="AI839" s="6"/>
      <c r="AJ839" s="7"/>
      <c r="AK839" s="7"/>
      <c r="AL839" s="6"/>
      <c r="AM839" s="6"/>
      <c r="AN839" s="8"/>
      <c r="AO839" s="8"/>
      <c r="AP839" s="8"/>
      <c r="AQ839" s="8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9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>
      <c r="A840" s="2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5"/>
      <c r="AD840" s="5"/>
      <c r="AE840" s="5"/>
      <c r="AF840" s="5"/>
      <c r="AG840" s="6"/>
      <c r="AH840" s="6"/>
      <c r="AI840" s="6"/>
      <c r="AJ840" s="7"/>
      <c r="AK840" s="7"/>
      <c r="AL840" s="6"/>
      <c r="AM840" s="6"/>
      <c r="AN840" s="8"/>
      <c r="AO840" s="8"/>
      <c r="AP840" s="8"/>
      <c r="AQ840" s="8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9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>
      <c r="A841" s="2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5"/>
      <c r="AD841" s="5"/>
      <c r="AE841" s="5"/>
      <c r="AF841" s="5"/>
      <c r="AG841" s="6"/>
      <c r="AH841" s="6"/>
      <c r="AI841" s="6"/>
      <c r="AJ841" s="7"/>
      <c r="AK841" s="7"/>
      <c r="AL841" s="6"/>
      <c r="AM841" s="6"/>
      <c r="AN841" s="8"/>
      <c r="AO841" s="8"/>
      <c r="AP841" s="8"/>
      <c r="AQ841" s="8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9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>
      <c r="A842" s="2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5"/>
      <c r="AD842" s="5"/>
      <c r="AE842" s="5"/>
      <c r="AF842" s="5"/>
      <c r="AG842" s="6"/>
      <c r="AH842" s="6"/>
      <c r="AI842" s="6"/>
      <c r="AJ842" s="7"/>
      <c r="AK842" s="7"/>
      <c r="AL842" s="6"/>
      <c r="AM842" s="6"/>
      <c r="AN842" s="8"/>
      <c r="AO842" s="8"/>
      <c r="AP842" s="8"/>
      <c r="AQ842" s="8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9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>
      <c r="A843" s="2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5"/>
      <c r="AD843" s="5"/>
      <c r="AE843" s="5"/>
      <c r="AF843" s="5"/>
      <c r="AG843" s="6"/>
      <c r="AH843" s="6"/>
      <c r="AI843" s="6"/>
      <c r="AJ843" s="7"/>
      <c r="AK843" s="7"/>
      <c r="AL843" s="6"/>
      <c r="AM843" s="6"/>
      <c r="AN843" s="8"/>
      <c r="AO843" s="8"/>
      <c r="AP843" s="8"/>
      <c r="AQ843" s="8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9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>
      <c r="A844" s="2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5"/>
      <c r="AD844" s="5"/>
      <c r="AE844" s="5"/>
      <c r="AF844" s="5"/>
      <c r="AG844" s="6"/>
      <c r="AH844" s="6"/>
      <c r="AI844" s="6"/>
      <c r="AJ844" s="7"/>
      <c r="AK844" s="7"/>
      <c r="AL844" s="6"/>
      <c r="AM844" s="6"/>
      <c r="AN844" s="8"/>
      <c r="AO844" s="8"/>
      <c r="AP844" s="8"/>
      <c r="AQ844" s="8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9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>
      <c r="A845" s="2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5"/>
      <c r="AD845" s="5"/>
      <c r="AE845" s="5"/>
      <c r="AF845" s="5"/>
      <c r="AG845" s="6"/>
      <c r="AH845" s="6"/>
      <c r="AI845" s="6"/>
      <c r="AJ845" s="7"/>
      <c r="AK845" s="7"/>
      <c r="AL845" s="6"/>
      <c r="AM845" s="6"/>
      <c r="AN845" s="8"/>
      <c r="AO845" s="8"/>
      <c r="AP845" s="8"/>
      <c r="AQ845" s="8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9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>
      <c r="A846" s="2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5"/>
      <c r="AD846" s="5"/>
      <c r="AE846" s="5"/>
      <c r="AF846" s="5"/>
      <c r="AG846" s="6"/>
      <c r="AH846" s="6"/>
      <c r="AI846" s="6"/>
      <c r="AJ846" s="7"/>
      <c r="AK846" s="7"/>
      <c r="AL846" s="6"/>
      <c r="AM846" s="6"/>
      <c r="AN846" s="8"/>
      <c r="AO846" s="8"/>
      <c r="AP846" s="8"/>
      <c r="AQ846" s="8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9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>
      <c r="A847" s="2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5"/>
      <c r="AD847" s="5"/>
      <c r="AE847" s="5"/>
      <c r="AF847" s="5"/>
      <c r="AG847" s="6"/>
      <c r="AH847" s="6"/>
      <c r="AI847" s="6"/>
      <c r="AJ847" s="7"/>
      <c r="AK847" s="7"/>
      <c r="AL847" s="6"/>
      <c r="AM847" s="6"/>
      <c r="AN847" s="8"/>
      <c r="AO847" s="8"/>
      <c r="AP847" s="8"/>
      <c r="AQ847" s="8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9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>
      <c r="A848" s="2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5"/>
      <c r="AD848" s="5"/>
      <c r="AE848" s="5"/>
      <c r="AF848" s="5"/>
      <c r="AG848" s="6"/>
      <c r="AH848" s="6"/>
      <c r="AI848" s="6"/>
      <c r="AJ848" s="7"/>
      <c r="AK848" s="7"/>
      <c r="AL848" s="6"/>
      <c r="AM848" s="6"/>
      <c r="AN848" s="8"/>
      <c r="AO848" s="8"/>
      <c r="AP848" s="8"/>
      <c r="AQ848" s="8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9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>
      <c r="A849" s="2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5"/>
      <c r="AD849" s="5"/>
      <c r="AE849" s="5"/>
      <c r="AF849" s="5"/>
      <c r="AG849" s="6"/>
      <c r="AH849" s="6"/>
      <c r="AI849" s="6"/>
      <c r="AJ849" s="7"/>
      <c r="AK849" s="7"/>
      <c r="AL849" s="6"/>
      <c r="AM849" s="6"/>
      <c r="AN849" s="8"/>
      <c r="AO849" s="8"/>
      <c r="AP849" s="8"/>
      <c r="AQ849" s="8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9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>
      <c r="A850" s="2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5"/>
      <c r="AD850" s="5"/>
      <c r="AE850" s="5"/>
      <c r="AF850" s="5"/>
      <c r="AG850" s="6"/>
      <c r="AH850" s="6"/>
      <c r="AI850" s="6"/>
      <c r="AJ850" s="7"/>
      <c r="AK850" s="7"/>
      <c r="AL850" s="6"/>
      <c r="AM850" s="6"/>
      <c r="AN850" s="8"/>
      <c r="AO850" s="8"/>
      <c r="AP850" s="8"/>
      <c r="AQ850" s="8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9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>
      <c r="A851" s="2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5"/>
      <c r="AD851" s="5"/>
      <c r="AE851" s="5"/>
      <c r="AF851" s="5"/>
      <c r="AG851" s="6"/>
      <c r="AH851" s="6"/>
      <c r="AI851" s="6"/>
      <c r="AJ851" s="7"/>
      <c r="AK851" s="7"/>
      <c r="AL851" s="6"/>
      <c r="AM851" s="6"/>
      <c r="AN851" s="8"/>
      <c r="AO851" s="8"/>
      <c r="AP851" s="8"/>
      <c r="AQ851" s="8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9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>
      <c r="A852" s="2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5"/>
      <c r="AD852" s="5"/>
      <c r="AE852" s="5"/>
      <c r="AF852" s="5"/>
      <c r="AG852" s="6"/>
      <c r="AH852" s="6"/>
      <c r="AI852" s="6"/>
      <c r="AJ852" s="7"/>
      <c r="AK852" s="7"/>
      <c r="AL852" s="6"/>
      <c r="AM852" s="6"/>
      <c r="AN852" s="8"/>
      <c r="AO852" s="8"/>
      <c r="AP852" s="8"/>
      <c r="AQ852" s="8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9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>
      <c r="A853" s="2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5"/>
      <c r="AD853" s="5"/>
      <c r="AE853" s="5"/>
      <c r="AF853" s="5"/>
      <c r="AG853" s="6"/>
      <c r="AH853" s="6"/>
      <c r="AI853" s="6"/>
      <c r="AJ853" s="7"/>
      <c r="AK853" s="7"/>
      <c r="AL853" s="6"/>
      <c r="AM853" s="6"/>
      <c r="AN853" s="8"/>
      <c r="AO853" s="8"/>
      <c r="AP853" s="8"/>
      <c r="AQ853" s="8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9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>
      <c r="A854" s="2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5"/>
      <c r="AD854" s="5"/>
      <c r="AE854" s="5"/>
      <c r="AF854" s="5"/>
      <c r="AG854" s="6"/>
      <c r="AH854" s="6"/>
      <c r="AI854" s="6"/>
      <c r="AJ854" s="7"/>
      <c r="AK854" s="7"/>
      <c r="AL854" s="6"/>
      <c r="AM854" s="6"/>
      <c r="AN854" s="8"/>
      <c r="AO854" s="8"/>
      <c r="AP854" s="8"/>
      <c r="AQ854" s="8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9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>
      <c r="A855" s="2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5"/>
      <c r="AD855" s="5"/>
      <c r="AE855" s="5"/>
      <c r="AF855" s="5"/>
      <c r="AG855" s="6"/>
      <c r="AH855" s="6"/>
      <c r="AI855" s="6"/>
      <c r="AJ855" s="7"/>
      <c r="AK855" s="7"/>
      <c r="AL855" s="6"/>
      <c r="AM855" s="6"/>
      <c r="AN855" s="8"/>
      <c r="AO855" s="8"/>
      <c r="AP855" s="8"/>
      <c r="AQ855" s="8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9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>
      <c r="A856" s="2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5"/>
      <c r="AD856" s="5"/>
      <c r="AE856" s="5"/>
      <c r="AF856" s="5"/>
      <c r="AG856" s="6"/>
      <c r="AH856" s="6"/>
      <c r="AI856" s="6"/>
      <c r="AJ856" s="7"/>
      <c r="AK856" s="7"/>
      <c r="AL856" s="6"/>
      <c r="AM856" s="6"/>
      <c r="AN856" s="8"/>
      <c r="AO856" s="8"/>
      <c r="AP856" s="8"/>
      <c r="AQ856" s="8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9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>
      <c r="A857" s="2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5"/>
      <c r="AD857" s="5"/>
      <c r="AE857" s="5"/>
      <c r="AF857" s="5"/>
      <c r="AG857" s="6"/>
      <c r="AH857" s="6"/>
      <c r="AI857" s="6"/>
      <c r="AJ857" s="7"/>
      <c r="AK857" s="7"/>
      <c r="AL857" s="6"/>
      <c r="AM857" s="6"/>
      <c r="AN857" s="8"/>
      <c r="AO857" s="8"/>
      <c r="AP857" s="8"/>
      <c r="AQ857" s="8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9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>
      <c r="A858" s="2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5"/>
      <c r="AD858" s="5"/>
      <c r="AE858" s="5"/>
      <c r="AF858" s="5"/>
      <c r="AG858" s="6"/>
      <c r="AH858" s="6"/>
      <c r="AI858" s="6"/>
      <c r="AJ858" s="7"/>
      <c r="AK858" s="7"/>
      <c r="AL858" s="6"/>
      <c r="AM858" s="6"/>
      <c r="AN858" s="8"/>
      <c r="AO858" s="8"/>
      <c r="AP858" s="8"/>
      <c r="AQ858" s="8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9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>
      <c r="A859" s="2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5"/>
      <c r="AD859" s="5"/>
      <c r="AE859" s="5"/>
      <c r="AF859" s="5"/>
      <c r="AG859" s="6"/>
      <c r="AH859" s="6"/>
      <c r="AI859" s="6"/>
      <c r="AJ859" s="7"/>
      <c r="AK859" s="7"/>
      <c r="AL859" s="6"/>
      <c r="AM859" s="6"/>
      <c r="AN859" s="8"/>
      <c r="AO859" s="8"/>
      <c r="AP859" s="8"/>
      <c r="AQ859" s="8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9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>
      <c r="A860" s="2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5"/>
      <c r="AD860" s="5"/>
      <c r="AE860" s="5"/>
      <c r="AF860" s="5"/>
      <c r="AG860" s="6"/>
      <c r="AH860" s="6"/>
      <c r="AI860" s="6"/>
      <c r="AJ860" s="7"/>
      <c r="AK860" s="7"/>
      <c r="AL860" s="6"/>
      <c r="AM860" s="6"/>
      <c r="AN860" s="8"/>
      <c r="AO860" s="8"/>
      <c r="AP860" s="8"/>
      <c r="AQ860" s="8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9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>
      <c r="A861" s="2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5"/>
      <c r="AD861" s="5"/>
      <c r="AE861" s="5"/>
      <c r="AF861" s="5"/>
      <c r="AG861" s="6"/>
      <c r="AH861" s="6"/>
      <c r="AI861" s="6"/>
      <c r="AJ861" s="7"/>
      <c r="AK861" s="7"/>
      <c r="AL861" s="6"/>
      <c r="AM861" s="6"/>
      <c r="AN861" s="8"/>
      <c r="AO861" s="8"/>
      <c r="AP861" s="8"/>
      <c r="AQ861" s="8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9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>
      <c r="A862" s="2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5"/>
      <c r="AD862" s="5"/>
      <c r="AE862" s="5"/>
      <c r="AF862" s="5"/>
      <c r="AG862" s="6"/>
      <c r="AH862" s="6"/>
      <c r="AI862" s="6"/>
      <c r="AJ862" s="7"/>
      <c r="AK862" s="7"/>
      <c r="AL862" s="6"/>
      <c r="AM862" s="6"/>
      <c r="AN862" s="8"/>
      <c r="AO862" s="8"/>
      <c r="AP862" s="8"/>
      <c r="AQ862" s="8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9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>
      <c r="A863" s="2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5"/>
      <c r="AD863" s="5"/>
      <c r="AE863" s="5"/>
      <c r="AF863" s="5"/>
      <c r="AG863" s="6"/>
      <c r="AH863" s="6"/>
      <c r="AI863" s="6"/>
      <c r="AJ863" s="7"/>
      <c r="AK863" s="7"/>
      <c r="AL863" s="6"/>
      <c r="AM863" s="6"/>
      <c r="AN863" s="8"/>
      <c r="AO863" s="8"/>
      <c r="AP863" s="8"/>
      <c r="AQ863" s="8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9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>
      <c r="A864" s="2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5"/>
      <c r="AD864" s="5"/>
      <c r="AE864" s="5"/>
      <c r="AF864" s="5"/>
      <c r="AG864" s="6"/>
      <c r="AH864" s="6"/>
      <c r="AI864" s="6"/>
      <c r="AJ864" s="7"/>
      <c r="AK864" s="7"/>
      <c r="AL864" s="6"/>
      <c r="AM864" s="6"/>
      <c r="AN864" s="8"/>
      <c r="AO864" s="8"/>
      <c r="AP864" s="8"/>
      <c r="AQ864" s="8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9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>
      <c r="A865" s="2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5"/>
      <c r="AD865" s="5"/>
      <c r="AE865" s="5"/>
      <c r="AF865" s="5"/>
      <c r="AG865" s="6"/>
      <c r="AH865" s="6"/>
      <c r="AI865" s="6"/>
      <c r="AJ865" s="7"/>
      <c r="AK865" s="7"/>
      <c r="AL865" s="6"/>
      <c r="AM865" s="6"/>
      <c r="AN865" s="8"/>
      <c r="AO865" s="8"/>
      <c r="AP865" s="8"/>
      <c r="AQ865" s="8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9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>
      <c r="A866" s="2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5"/>
      <c r="AD866" s="5"/>
      <c r="AE866" s="5"/>
      <c r="AF866" s="5"/>
      <c r="AG866" s="6"/>
      <c r="AH866" s="6"/>
      <c r="AI866" s="6"/>
      <c r="AJ866" s="7"/>
      <c r="AK866" s="7"/>
      <c r="AL866" s="6"/>
      <c r="AM866" s="6"/>
      <c r="AN866" s="8"/>
      <c r="AO866" s="8"/>
      <c r="AP866" s="8"/>
      <c r="AQ866" s="8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9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>
      <c r="A867" s="2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5"/>
      <c r="AD867" s="5"/>
      <c r="AE867" s="5"/>
      <c r="AF867" s="5"/>
      <c r="AG867" s="6"/>
      <c r="AH867" s="6"/>
      <c r="AI867" s="6"/>
      <c r="AJ867" s="7"/>
      <c r="AK867" s="7"/>
      <c r="AL867" s="6"/>
      <c r="AM867" s="6"/>
      <c r="AN867" s="8"/>
      <c r="AO867" s="8"/>
      <c r="AP867" s="8"/>
      <c r="AQ867" s="8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9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>
      <c r="A868" s="2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5"/>
      <c r="AD868" s="5"/>
      <c r="AE868" s="5"/>
      <c r="AF868" s="5"/>
      <c r="AG868" s="6"/>
      <c r="AH868" s="6"/>
      <c r="AI868" s="6"/>
      <c r="AJ868" s="7"/>
      <c r="AK868" s="7"/>
      <c r="AL868" s="6"/>
      <c r="AM868" s="6"/>
      <c r="AN868" s="8"/>
      <c r="AO868" s="8"/>
      <c r="AP868" s="8"/>
      <c r="AQ868" s="8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9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>
      <c r="A869" s="2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5"/>
      <c r="AD869" s="5"/>
      <c r="AE869" s="5"/>
      <c r="AF869" s="5"/>
      <c r="AG869" s="6"/>
      <c r="AH869" s="6"/>
      <c r="AI869" s="6"/>
      <c r="AJ869" s="7"/>
      <c r="AK869" s="7"/>
      <c r="AL869" s="6"/>
      <c r="AM869" s="6"/>
      <c r="AN869" s="8"/>
      <c r="AO869" s="8"/>
      <c r="AP869" s="8"/>
      <c r="AQ869" s="8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9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>
      <c r="A870" s="2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5"/>
      <c r="AD870" s="5"/>
      <c r="AE870" s="5"/>
      <c r="AF870" s="5"/>
      <c r="AG870" s="6"/>
      <c r="AH870" s="6"/>
      <c r="AI870" s="6"/>
      <c r="AJ870" s="7"/>
      <c r="AK870" s="7"/>
      <c r="AL870" s="6"/>
      <c r="AM870" s="6"/>
      <c r="AN870" s="8"/>
      <c r="AO870" s="8"/>
      <c r="AP870" s="8"/>
      <c r="AQ870" s="8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9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>
      <c r="A871" s="2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5"/>
      <c r="AD871" s="5"/>
      <c r="AE871" s="5"/>
      <c r="AF871" s="5"/>
      <c r="AG871" s="6"/>
      <c r="AH871" s="6"/>
      <c r="AI871" s="6"/>
      <c r="AJ871" s="7"/>
      <c r="AK871" s="7"/>
      <c r="AL871" s="6"/>
      <c r="AM871" s="6"/>
      <c r="AN871" s="8"/>
      <c r="AO871" s="8"/>
      <c r="AP871" s="8"/>
      <c r="AQ871" s="8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9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>
      <c r="A872" s="2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5"/>
      <c r="AD872" s="5"/>
      <c r="AE872" s="5"/>
      <c r="AF872" s="5"/>
      <c r="AG872" s="6"/>
      <c r="AH872" s="6"/>
      <c r="AI872" s="6"/>
      <c r="AJ872" s="7"/>
      <c r="AK872" s="7"/>
      <c r="AL872" s="6"/>
      <c r="AM872" s="6"/>
      <c r="AN872" s="8"/>
      <c r="AO872" s="8"/>
      <c r="AP872" s="8"/>
      <c r="AQ872" s="8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9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>
      <c r="A873" s="2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5"/>
      <c r="AD873" s="5"/>
      <c r="AE873" s="5"/>
      <c r="AF873" s="5"/>
      <c r="AG873" s="6"/>
      <c r="AH873" s="6"/>
      <c r="AI873" s="6"/>
      <c r="AJ873" s="7"/>
      <c r="AK873" s="7"/>
      <c r="AL873" s="6"/>
      <c r="AM873" s="6"/>
      <c r="AN873" s="8"/>
      <c r="AO873" s="8"/>
      <c r="AP873" s="8"/>
      <c r="AQ873" s="8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9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>
      <c r="A874" s="2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5"/>
      <c r="AD874" s="5"/>
      <c r="AE874" s="5"/>
      <c r="AF874" s="5"/>
      <c r="AG874" s="6"/>
      <c r="AH874" s="6"/>
      <c r="AI874" s="6"/>
      <c r="AJ874" s="7"/>
      <c r="AK874" s="7"/>
      <c r="AL874" s="6"/>
      <c r="AM874" s="6"/>
      <c r="AN874" s="8"/>
      <c r="AO874" s="8"/>
      <c r="AP874" s="8"/>
      <c r="AQ874" s="8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9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>
      <c r="A875" s="2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5"/>
      <c r="AD875" s="5"/>
      <c r="AE875" s="5"/>
      <c r="AF875" s="5"/>
      <c r="AG875" s="6"/>
      <c r="AH875" s="6"/>
      <c r="AI875" s="6"/>
      <c r="AJ875" s="7"/>
      <c r="AK875" s="7"/>
      <c r="AL875" s="6"/>
      <c r="AM875" s="6"/>
      <c r="AN875" s="8"/>
      <c r="AO875" s="8"/>
      <c r="AP875" s="8"/>
      <c r="AQ875" s="8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9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>
      <c r="A876" s="2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5"/>
      <c r="AD876" s="5"/>
      <c r="AE876" s="5"/>
      <c r="AF876" s="5"/>
      <c r="AG876" s="6"/>
      <c r="AH876" s="6"/>
      <c r="AI876" s="6"/>
      <c r="AJ876" s="7"/>
      <c r="AK876" s="7"/>
      <c r="AL876" s="6"/>
      <c r="AM876" s="6"/>
      <c r="AN876" s="8"/>
      <c r="AO876" s="8"/>
      <c r="AP876" s="8"/>
      <c r="AQ876" s="8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9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>
      <c r="A877" s="2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5"/>
      <c r="AD877" s="5"/>
      <c r="AE877" s="5"/>
      <c r="AF877" s="5"/>
      <c r="AG877" s="6"/>
      <c r="AH877" s="6"/>
      <c r="AI877" s="6"/>
      <c r="AJ877" s="7"/>
      <c r="AK877" s="7"/>
      <c r="AL877" s="6"/>
      <c r="AM877" s="6"/>
      <c r="AN877" s="8"/>
      <c r="AO877" s="8"/>
      <c r="AP877" s="8"/>
      <c r="AQ877" s="8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9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>
      <c r="A878" s="2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5"/>
      <c r="AD878" s="5"/>
      <c r="AE878" s="5"/>
      <c r="AF878" s="5"/>
      <c r="AG878" s="6"/>
      <c r="AH878" s="6"/>
      <c r="AI878" s="6"/>
      <c r="AJ878" s="7"/>
      <c r="AK878" s="7"/>
      <c r="AL878" s="6"/>
      <c r="AM878" s="6"/>
      <c r="AN878" s="8"/>
      <c r="AO878" s="8"/>
      <c r="AP878" s="8"/>
      <c r="AQ878" s="8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9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>
      <c r="A879" s="2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5"/>
      <c r="AD879" s="5"/>
      <c r="AE879" s="5"/>
      <c r="AF879" s="5"/>
      <c r="AG879" s="6"/>
      <c r="AH879" s="6"/>
      <c r="AI879" s="6"/>
      <c r="AJ879" s="7"/>
      <c r="AK879" s="7"/>
      <c r="AL879" s="6"/>
      <c r="AM879" s="6"/>
      <c r="AN879" s="8"/>
      <c r="AO879" s="8"/>
      <c r="AP879" s="8"/>
      <c r="AQ879" s="8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9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>
      <c r="A880" s="2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5"/>
      <c r="AD880" s="5"/>
      <c r="AE880" s="5"/>
      <c r="AF880" s="5"/>
      <c r="AG880" s="6"/>
      <c r="AH880" s="6"/>
      <c r="AI880" s="6"/>
      <c r="AJ880" s="7"/>
      <c r="AK880" s="7"/>
      <c r="AL880" s="6"/>
      <c r="AM880" s="6"/>
      <c r="AN880" s="8"/>
      <c r="AO880" s="8"/>
      <c r="AP880" s="8"/>
      <c r="AQ880" s="8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9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>
      <c r="A881" s="2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5"/>
      <c r="AD881" s="5"/>
      <c r="AE881" s="5"/>
      <c r="AF881" s="5"/>
      <c r="AG881" s="6"/>
      <c r="AH881" s="6"/>
      <c r="AI881" s="6"/>
      <c r="AJ881" s="7"/>
      <c r="AK881" s="7"/>
      <c r="AL881" s="6"/>
      <c r="AM881" s="6"/>
      <c r="AN881" s="8"/>
      <c r="AO881" s="8"/>
      <c r="AP881" s="8"/>
      <c r="AQ881" s="8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9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>
      <c r="A882" s="2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5"/>
      <c r="AD882" s="5"/>
      <c r="AE882" s="5"/>
      <c r="AF882" s="5"/>
      <c r="AG882" s="6"/>
      <c r="AH882" s="6"/>
      <c r="AI882" s="6"/>
      <c r="AJ882" s="7"/>
      <c r="AK882" s="7"/>
      <c r="AL882" s="6"/>
      <c r="AM882" s="6"/>
      <c r="AN882" s="8"/>
      <c r="AO882" s="8"/>
      <c r="AP882" s="8"/>
      <c r="AQ882" s="8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9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>
      <c r="A883" s="2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5"/>
      <c r="AD883" s="5"/>
      <c r="AE883" s="5"/>
      <c r="AF883" s="5"/>
      <c r="AG883" s="6"/>
      <c r="AH883" s="6"/>
      <c r="AI883" s="6"/>
      <c r="AJ883" s="7"/>
      <c r="AK883" s="7"/>
      <c r="AL883" s="6"/>
      <c r="AM883" s="6"/>
      <c r="AN883" s="8"/>
      <c r="AO883" s="8"/>
      <c r="AP883" s="8"/>
      <c r="AQ883" s="8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9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>
      <c r="A884" s="2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5"/>
      <c r="AD884" s="5"/>
      <c r="AE884" s="5"/>
      <c r="AF884" s="5"/>
      <c r="AG884" s="6"/>
      <c r="AH884" s="6"/>
      <c r="AI884" s="6"/>
      <c r="AJ884" s="7"/>
      <c r="AK884" s="7"/>
      <c r="AL884" s="6"/>
      <c r="AM884" s="6"/>
      <c r="AN884" s="8"/>
      <c r="AO884" s="8"/>
      <c r="AP884" s="8"/>
      <c r="AQ884" s="8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9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>
      <c r="A885" s="2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5"/>
      <c r="AD885" s="5"/>
      <c r="AE885" s="5"/>
      <c r="AF885" s="5"/>
      <c r="AG885" s="6"/>
      <c r="AH885" s="6"/>
      <c r="AI885" s="6"/>
      <c r="AJ885" s="7"/>
      <c r="AK885" s="7"/>
      <c r="AL885" s="6"/>
      <c r="AM885" s="6"/>
      <c r="AN885" s="8"/>
      <c r="AO885" s="8"/>
      <c r="AP885" s="8"/>
      <c r="AQ885" s="8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9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>
      <c r="A886" s="2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5"/>
      <c r="AD886" s="5"/>
      <c r="AE886" s="5"/>
      <c r="AF886" s="5"/>
      <c r="AG886" s="6"/>
      <c r="AH886" s="6"/>
      <c r="AI886" s="6"/>
      <c r="AJ886" s="7"/>
      <c r="AK886" s="7"/>
      <c r="AL886" s="6"/>
      <c r="AM886" s="6"/>
      <c r="AN886" s="8"/>
      <c r="AO886" s="8"/>
      <c r="AP886" s="8"/>
      <c r="AQ886" s="8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9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>
      <c r="A887" s="2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5"/>
      <c r="AD887" s="5"/>
      <c r="AE887" s="5"/>
      <c r="AF887" s="5"/>
      <c r="AG887" s="6"/>
      <c r="AH887" s="6"/>
      <c r="AI887" s="6"/>
      <c r="AJ887" s="7"/>
      <c r="AK887" s="7"/>
      <c r="AL887" s="6"/>
      <c r="AM887" s="6"/>
      <c r="AN887" s="8"/>
      <c r="AO887" s="8"/>
      <c r="AP887" s="8"/>
      <c r="AQ887" s="8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9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>
      <c r="A888" s="2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5"/>
      <c r="AD888" s="5"/>
      <c r="AE888" s="5"/>
      <c r="AF888" s="5"/>
      <c r="AG888" s="6"/>
      <c r="AH888" s="6"/>
      <c r="AI888" s="6"/>
      <c r="AJ888" s="7"/>
      <c r="AK888" s="7"/>
      <c r="AL888" s="6"/>
      <c r="AM888" s="6"/>
      <c r="AN888" s="8"/>
      <c r="AO888" s="8"/>
      <c r="AP888" s="8"/>
      <c r="AQ888" s="8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9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>
      <c r="A889" s="2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5"/>
      <c r="AD889" s="5"/>
      <c r="AE889" s="5"/>
      <c r="AF889" s="5"/>
      <c r="AG889" s="6"/>
      <c r="AH889" s="6"/>
      <c r="AI889" s="6"/>
      <c r="AJ889" s="7"/>
      <c r="AK889" s="7"/>
      <c r="AL889" s="6"/>
      <c r="AM889" s="6"/>
      <c r="AN889" s="8"/>
      <c r="AO889" s="8"/>
      <c r="AP889" s="8"/>
      <c r="AQ889" s="8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9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>
      <c r="A890" s="2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5"/>
      <c r="AD890" s="5"/>
      <c r="AE890" s="5"/>
      <c r="AF890" s="5"/>
      <c r="AG890" s="6"/>
      <c r="AH890" s="6"/>
      <c r="AI890" s="6"/>
      <c r="AJ890" s="7"/>
      <c r="AK890" s="7"/>
      <c r="AL890" s="6"/>
      <c r="AM890" s="6"/>
      <c r="AN890" s="8"/>
      <c r="AO890" s="8"/>
      <c r="AP890" s="8"/>
      <c r="AQ890" s="8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9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>
      <c r="A891" s="2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5"/>
      <c r="AD891" s="5"/>
      <c r="AE891" s="5"/>
      <c r="AF891" s="5"/>
      <c r="AG891" s="6"/>
      <c r="AH891" s="6"/>
      <c r="AI891" s="6"/>
      <c r="AJ891" s="7"/>
      <c r="AK891" s="7"/>
      <c r="AL891" s="6"/>
      <c r="AM891" s="6"/>
      <c r="AN891" s="8"/>
      <c r="AO891" s="8"/>
      <c r="AP891" s="8"/>
      <c r="AQ891" s="8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9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>
      <c r="A892" s="2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5"/>
      <c r="AD892" s="5"/>
      <c r="AE892" s="5"/>
      <c r="AF892" s="5"/>
      <c r="AG892" s="6"/>
      <c r="AH892" s="6"/>
      <c r="AI892" s="6"/>
      <c r="AJ892" s="7"/>
      <c r="AK892" s="7"/>
      <c r="AL892" s="6"/>
      <c r="AM892" s="6"/>
      <c r="AN892" s="8"/>
      <c r="AO892" s="8"/>
      <c r="AP892" s="8"/>
      <c r="AQ892" s="8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9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>
      <c r="A893" s="2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5"/>
      <c r="AD893" s="5"/>
      <c r="AE893" s="5"/>
      <c r="AF893" s="5"/>
      <c r="AG893" s="6"/>
      <c r="AH893" s="6"/>
      <c r="AI893" s="6"/>
      <c r="AJ893" s="7"/>
      <c r="AK893" s="7"/>
      <c r="AL893" s="6"/>
      <c r="AM893" s="6"/>
      <c r="AN893" s="8"/>
      <c r="AO893" s="8"/>
      <c r="AP893" s="8"/>
      <c r="AQ893" s="8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9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>
      <c r="A894" s="2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5"/>
      <c r="AD894" s="5"/>
      <c r="AE894" s="5"/>
      <c r="AF894" s="5"/>
      <c r="AG894" s="6"/>
      <c r="AH894" s="6"/>
      <c r="AI894" s="6"/>
      <c r="AJ894" s="7"/>
      <c r="AK894" s="7"/>
      <c r="AL894" s="6"/>
      <c r="AM894" s="6"/>
      <c r="AN894" s="8"/>
      <c r="AO894" s="8"/>
      <c r="AP894" s="8"/>
      <c r="AQ894" s="8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9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>
      <c r="A895" s="2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5"/>
      <c r="AD895" s="5"/>
      <c r="AE895" s="5"/>
      <c r="AF895" s="5"/>
      <c r="AG895" s="6"/>
      <c r="AH895" s="6"/>
      <c r="AI895" s="6"/>
      <c r="AJ895" s="7"/>
      <c r="AK895" s="7"/>
      <c r="AL895" s="6"/>
      <c r="AM895" s="6"/>
      <c r="AN895" s="8"/>
      <c r="AO895" s="8"/>
      <c r="AP895" s="8"/>
      <c r="AQ895" s="8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9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>
      <c r="A896" s="2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5"/>
      <c r="AD896" s="5"/>
      <c r="AE896" s="5"/>
      <c r="AF896" s="5"/>
      <c r="AG896" s="6"/>
      <c r="AH896" s="6"/>
      <c r="AI896" s="6"/>
      <c r="AJ896" s="7"/>
      <c r="AK896" s="7"/>
      <c r="AL896" s="6"/>
      <c r="AM896" s="6"/>
      <c r="AN896" s="8"/>
      <c r="AO896" s="8"/>
      <c r="AP896" s="8"/>
      <c r="AQ896" s="8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9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>
      <c r="A897" s="2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5"/>
      <c r="AD897" s="5"/>
      <c r="AE897" s="5"/>
      <c r="AF897" s="5"/>
      <c r="AG897" s="6"/>
      <c r="AH897" s="6"/>
      <c r="AI897" s="6"/>
      <c r="AJ897" s="7"/>
      <c r="AK897" s="7"/>
      <c r="AL897" s="6"/>
      <c r="AM897" s="6"/>
      <c r="AN897" s="8"/>
      <c r="AO897" s="8"/>
      <c r="AP897" s="8"/>
      <c r="AQ897" s="8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9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>
      <c r="A898" s="2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5"/>
      <c r="AD898" s="5"/>
      <c r="AE898" s="5"/>
      <c r="AF898" s="5"/>
      <c r="AG898" s="6"/>
      <c r="AH898" s="6"/>
      <c r="AI898" s="6"/>
      <c r="AJ898" s="7"/>
      <c r="AK898" s="7"/>
      <c r="AL898" s="6"/>
      <c r="AM898" s="6"/>
      <c r="AN898" s="8"/>
      <c r="AO898" s="8"/>
      <c r="AP898" s="8"/>
      <c r="AQ898" s="8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9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>
      <c r="A899" s="2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5"/>
      <c r="AD899" s="5"/>
      <c r="AE899" s="5"/>
      <c r="AF899" s="5"/>
      <c r="AG899" s="6"/>
      <c r="AH899" s="6"/>
      <c r="AI899" s="6"/>
      <c r="AJ899" s="7"/>
      <c r="AK899" s="7"/>
      <c r="AL899" s="6"/>
      <c r="AM899" s="6"/>
      <c r="AN899" s="8"/>
      <c r="AO899" s="8"/>
      <c r="AP899" s="8"/>
      <c r="AQ899" s="8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9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>
      <c r="A900" s="2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5"/>
      <c r="AD900" s="5"/>
      <c r="AE900" s="5"/>
      <c r="AF900" s="5"/>
      <c r="AG900" s="6"/>
      <c r="AH900" s="6"/>
      <c r="AI900" s="6"/>
      <c r="AJ900" s="7"/>
      <c r="AK900" s="7"/>
      <c r="AL900" s="6"/>
      <c r="AM900" s="6"/>
      <c r="AN900" s="8"/>
      <c r="AO900" s="8"/>
      <c r="AP900" s="8"/>
      <c r="AQ900" s="8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9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  <row r="901">
      <c r="A901" s="2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5"/>
      <c r="AD901" s="5"/>
      <c r="AE901" s="5"/>
      <c r="AF901" s="5"/>
      <c r="AG901" s="6"/>
      <c r="AH901" s="6"/>
      <c r="AI901" s="6"/>
      <c r="AJ901" s="7"/>
      <c r="AK901" s="7"/>
      <c r="AL901" s="6"/>
      <c r="AM901" s="6"/>
      <c r="AN901" s="8"/>
      <c r="AO901" s="8"/>
      <c r="AP901" s="8"/>
      <c r="AQ901" s="8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9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</row>
    <row r="902">
      <c r="A902" s="2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5"/>
      <c r="AD902" s="5"/>
      <c r="AE902" s="5"/>
      <c r="AF902" s="5"/>
      <c r="AG902" s="6"/>
      <c r="AH902" s="6"/>
      <c r="AI902" s="6"/>
      <c r="AJ902" s="7"/>
      <c r="AK902" s="7"/>
      <c r="AL902" s="6"/>
      <c r="AM902" s="6"/>
      <c r="AN902" s="8"/>
      <c r="AO902" s="8"/>
      <c r="AP902" s="8"/>
      <c r="AQ902" s="8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9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</row>
    <row r="903">
      <c r="A903" s="2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5"/>
      <c r="AD903" s="5"/>
      <c r="AE903" s="5"/>
      <c r="AF903" s="5"/>
      <c r="AG903" s="6"/>
      <c r="AH903" s="6"/>
      <c r="AI903" s="6"/>
      <c r="AJ903" s="7"/>
      <c r="AK903" s="7"/>
      <c r="AL903" s="6"/>
      <c r="AM903" s="6"/>
      <c r="AN903" s="8"/>
      <c r="AO903" s="8"/>
      <c r="AP903" s="8"/>
      <c r="AQ903" s="8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9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</row>
    <row r="904">
      <c r="A904" s="2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5"/>
      <c r="AD904" s="5"/>
      <c r="AE904" s="5"/>
      <c r="AF904" s="5"/>
      <c r="AG904" s="6"/>
      <c r="AH904" s="6"/>
      <c r="AI904" s="6"/>
      <c r="AJ904" s="7"/>
      <c r="AK904" s="7"/>
      <c r="AL904" s="6"/>
      <c r="AM904" s="6"/>
      <c r="AN904" s="8"/>
      <c r="AO904" s="8"/>
      <c r="AP904" s="8"/>
      <c r="AQ904" s="8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9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</row>
    <row r="905">
      <c r="A905" s="2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5"/>
      <c r="AD905" s="5"/>
      <c r="AE905" s="5"/>
      <c r="AF905" s="5"/>
      <c r="AG905" s="6"/>
      <c r="AH905" s="6"/>
      <c r="AI905" s="6"/>
      <c r="AJ905" s="7"/>
      <c r="AK905" s="7"/>
      <c r="AL905" s="6"/>
      <c r="AM905" s="6"/>
      <c r="AN905" s="8"/>
      <c r="AO905" s="8"/>
      <c r="AP905" s="8"/>
      <c r="AQ905" s="8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9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</row>
    <row r="906">
      <c r="A906" s="2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5"/>
      <c r="AD906" s="5"/>
      <c r="AE906" s="5"/>
      <c r="AF906" s="5"/>
      <c r="AG906" s="6"/>
      <c r="AH906" s="6"/>
      <c r="AI906" s="6"/>
      <c r="AJ906" s="7"/>
      <c r="AK906" s="7"/>
      <c r="AL906" s="6"/>
      <c r="AM906" s="6"/>
      <c r="AN906" s="8"/>
      <c r="AO906" s="8"/>
      <c r="AP906" s="8"/>
      <c r="AQ906" s="8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9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</row>
    <row r="907">
      <c r="A907" s="2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5"/>
      <c r="AD907" s="5"/>
      <c r="AE907" s="5"/>
      <c r="AF907" s="5"/>
      <c r="AG907" s="6"/>
      <c r="AH907" s="6"/>
      <c r="AI907" s="6"/>
      <c r="AJ907" s="7"/>
      <c r="AK907" s="7"/>
      <c r="AL907" s="6"/>
      <c r="AM907" s="6"/>
      <c r="AN907" s="8"/>
      <c r="AO907" s="8"/>
      <c r="AP907" s="8"/>
      <c r="AQ907" s="8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9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</row>
    <row r="908">
      <c r="A908" s="2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5"/>
      <c r="AD908" s="5"/>
      <c r="AE908" s="5"/>
      <c r="AF908" s="5"/>
      <c r="AG908" s="6"/>
      <c r="AH908" s="6"/>
      <c r="AI908" s="6"/>
      <c r="AJ908" s="7"/>
      <c r="AK908" s="7"/>
      <c r="AL908" s="6"/>
      <c r="AM908" s="6"/>
      <c r="AN908" s="8"/>
      <c r="AO908" s="8"/>
      <c r="AP908" s="8"/>
      <c r="AQ908" s="8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9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</row>
    <row r="909">
      <c r="A909" s="2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5"/>
      <c r="AD909" s="5"/>
      <c r="AE909" s="5"/>
      <c r="AF909" s="5"/>
      <c r="AG909" s="6"/>
      <c r="AH909" s="6"/>
      <c r="AI909" s="6"/>
      <c r="AJ909" s="7"/>
      <c r="AK909" s="7"/>
      <c r="AL909" s="6"/>
      <c r="AM909" s="6"/>
      <c r="AN909" s="8"/>
      <c r="AO909" s="8"/>
      <c r="AP909" s="8"/>
      <c r="AQ909" s="8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9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</row>
    <row r="910">
      <c r="A910" s="2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5"/>
      <c r="AD910" s="5"/>
      <c r="AE910" s="5"/>
      <c r="AF910" s="5"/>
      <c r="AG910" s="6"/>
      <c r="AH910" s="6"/>
      <c r="AI910" s="6"/>
      <c r="AJ910" s="7"/>
      <c r="AK910" s="7"/>
      <c r="AL910" s="6"/>
      <c r="AM910" s="6"/>
      <c r="AN910" s="8"/>
      <c r="AO910" s="8"/>
      <c r="AP910" s="8"/>
      <c r="AQ910" s="8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9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</row>
    <row r="911">
      <c r="A911" s="2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5"/>
      <c r="AD911" s="5"/>
      <c r="AE911" s="5"/>
      <c r="AF911" s="5"/>
      <c r="AG911" s="6"/>
      <c r="AH911" s="6"/>
      <c r="AI911" s="6"/>
      <c r="AJ911" s="7"/>
      <c r="AK911" s="7"/>
      <c r="AL911" s="6"/>
      <c r="AM911" s="6"/>
      <c r="AN911" s="8"/>
      <c r="AO911" s="8"/>
      <c r="AP911" s="8"/>
      <c r="AQ911" s="8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9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</row>
    <row r="912">
      <c r="A912" s="2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5"/>
      <c r="AD912" s="5"/>
      <c r="AE912" s="5"/>
      <c r="AF912" s="5"/>
      <c r="AG912" s="6"/>
      <c r="AH912" s="6"/>
      <c r="AI912" s="6"/>
      <c r="AJ912" s="7"/>
      <c r="AK912" s="7"/>
      <c r="AL912" s="6"/>
      <c r="AM912" s="6"/>
      <c r="AN912" s="8"/>
      <c r="AO912" s="8"/>
      <c r="AP912" s="8"/>
      <c r="AQ912" s="8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9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</row>
    <row r="913">
      <c r="A913" s="2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5"/>
      <c r="AD913" s="5"/>
      <c r="AE913" s="5"/>
      <c r="AF913" s="5"/>
      <c r="AG913" s="6"/>
      <c r="AH913" s="6"/>
      <c r="AI913" s="6"/>
      <c r="AJ913" s="7"/>
      <c r="AK913" s="7"/>
      <c r="AL913" s="6"/>
      <c r="AM913" s="6"/>
      <c r="AN913" s="8"/>
      <c r="AO913" s="8"/>
      <c r="AP913" s="8"/>
      <c r="AQ913" s="8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9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</row>
    <row r="914">
      <c r="A914" s="2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5"/>
      <c r="AD914" s="5"/>
      <c r="AE914" s="5"/>
      <c r="AF914" s="5"/>
      <c r="AG914" s="6"/>
      <c r="AH914" s="6"/>
      <c r="AI914" s="6"/>
      <c r="AJ914" s="7"/>
      <c r="AK914" s="7"/>
      <c r="AL914" s="6"/>
      <c r="AM914" s="6"/>
      <c r="AN914" s="8"/>
      <c r="AO914" s="8"/>
      <c r="AP914" s="8"/>
      <c r="AQ914" s="8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9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</row>
    <row r="915">
      <c r="A915" s="2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5"/>
      <c r="AD915" s="5"/>
      <c r="AE915" s="5"/>
      <c r="AF915" s="5"/>
      <c r="AG915" s="6"/>
      <c r="AH915" s="6"/>
      <c r="AI915" s="6"/>
      <c r="AJ915" s="7"/>
      <c r="AK915" s="7"/>
      <c r="AL915" s="6"/>
      <c r="AM915" s="6"/>
      <c r="AN915" s="8"/>
      <c r="AO915" s="8"/>
      <c r="AP915" s="8"/>
      <c r="AQ915" s="8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9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</row>
    <row r="916">
      <c r="A916" s="2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5"/>
      <c r="AD916" s="5"/>
      <c r="AE916" s="5"/>
      <c r="AF916" s="5"/>
      <c r="AG916" s="6"/>
      <c r="AH916" s="6"/>
      <c r="AI916" s="6"/>
      <c r="AJ916" s="7"/>
      <c r="AK916" s="7"/>
      <c r="AL916" s="6"/>
      <c r="AM916" s="6"/>
      <c r="AN916" s="8"/>
      <c r="AO916" s="8"/>
      <c r="AP916" s="8"/>
      <c r="AQ916" s="8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9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</row>
    <row r="917">
      <c r="A917" s="2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5"/>
      <c r="AD917" s="5"/>
      <c r="AE917" s="5"/>
      <c r="AF917" s="5"/>
      <c r="AG917" s="6"/>
      <c r="AH917" s="6"/>
      <c r="AI917" s="6"/>
      <c r="AJ917" s="7"/>
      <c r="AK917" s="7"/>
      <c r="AL917" s="6"/>
      <c r="AM917" s="6"/>
      <c r="AN917" s="8"/>
      <c r="AO917" s="8"/>
      <c r="AP917" s="8"/>
      <c r="AQ917" s="8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9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</row>
    <row r="918">
      <c r="A918" s="2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5"/>
      <c r="AD918" s="5"/>
      <c r="AE918" s="5"/>
      <c r="AF918" s="5"/>
      <c r="AG918" s="6"/>
      <c r="AH918" s="6"/>
      <c r="AI918" s="6"/>
      <c r="AJ918" s="7"/>
      <c r="AK918" s="7"/>
      <c r="AL918" s="6"/>
      <c r="AM918" s="6"/>
      <c r="AN918" s="8"/>
      <c r="AO918" s="8"/>
      <c r="AP918" s="8"/>
      <c r="AQ918" s="8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9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</row>
    <row r="919">
      <c r="A919" s="2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5"/>
      <c r="AD919" s="5"/>
      <c r="AE919" s="5"/>
      <c r="AF919" s="5"/>
      <c r="AG919" s="6"/>
      <c r="AH919" s="6"/>
      <c r="AI919" s="6"/>
      <c r="AJ919" s="7"/>
      <c r="AK919" s="7"/>
      <c r="AL919" s="6"/>
      <c r="AM919" s="6"/>
      <c r="AN919" s="8"/>
      <c r="AO919" s="8"/>
      <c r="AP919" s="8"/>
      <c r="AQ919" s="8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9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</row>
    <row r="920">
      <c r="A920" s="2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5"/>
      <c r="AD920" s="5"/>
      <c r="AE920" s="5"/>
      <c r="AF920" s="5"/>
      <c r="AG920" s="6"/>
      <c r="AH920" s="6"/>
      <c r="AI920" s="6"/>
      <c r="AJ920" s="7"/>
      <c r="AK920" s="7"/>
      <c r="AL920" s="6"/>
      <c r="AM920" s="6"/>
      <c r="AN920" s="8"/>
      <c r="AO920" s="8"/>
      <c r="AP920" s="8"/>
      <c r="AQ920" s="8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9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</row>
    <row r="921">
      <c r="A921" s="2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5"/>
      <c r="AD921" s="5"/>
      <c r="AE921" s="5"/>
      <c r="AF921" s="5"/>
      <c r="AG921" s="6"/>
      <c r="AH921" s="6"/>
      <c r="AI921" s="6"/>
      <c r="AJ921" s="7"/>
      <c r="AK921" s="7"/>
      <c r="AL921" s="6"/>
      <c r="AM921" s="6"/>
      <c r="AN921" s="8"/>
      <c r="AO921" s="8"/>
      <c r="AP921" s="8"/>
      <c r="AQ921" s="8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9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</row>
    <row r="922">
      <c r="A922" s="2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5"/>
      <c r="AD922" s="5"/>
      <c r="AE922" s="5"/>
      <c r="AF922" s="5"/>
      <c r="AG922" s="6"/>
      <c r="AH922" s="6"/>
      <c r="AI922" s="6"/>
      <c r="AJ922" s="7"/>
      <c r="AK922" s="7"/>
      <c r="AL922" s="6"/>
      <c r="AM922" s="6"/>
      <c r="AN922" s="8"/>
      <c r="AO922" s="8"/>
      <c r="AP922" s="8"/>
      <c r="AQ922" s="8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9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</row>
    <row r="923">
      <c r="A923" s="2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5"/>
      <c r="AD923" s="5"/>
      <c r="AE923" s="5"/>
      <c r="AF923" s="5"/>
      <c r="AG923" s="6"/>
      <c r="AH923" s="6"/>
      <c r="AI923" s="6"/>
      <c r="AJ923" s="7"/>
      <c r="AK923" s="7"/>
      <c r="AL923" s="6"/>
      <c r="AM923" s="6"/>
      <c r="AN923" s="8"/>
      <c r="AO923" s="8"/>
      <c r="AP923" s="8"/>
      <c r="AQ923" s="8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9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</row>
    <row r="924">
      <c r="A924" s="2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5"/>
      <c r="AD924" s="5"/>
      <c r="AE924" s="5"/>
      <c r="AF924" s="5"/>
      <c r="AG924" s="6"/>
      <c r="AH924" s="6"/>
      <c r="AI924" s="6"/>
      <c r="AJ924" s="7"/>
      <c r="AK924" s="7"/>
      <c r="AL924" s="6"/>
      <c r="AM924" s="6"/>
      <c r="AN924" s="8"/>
      <c r="AO924" s="8"/>
      <c r="AP924" s="8"/>
      <c r="AQ924" s="8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9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</row>
    <row r="925">
      <c r="A925" s="2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5"/>
      <c r="AD925" s="5"/>
      <c r="AE925" s="5"/>
      <c r="AF925" s="5"/>
      <c r="AG925" s="6"/>
      <c r="AH925" s="6"/>
      <c r="AI925" s="6"/>
      <c r="AJ925" s="7"/>
      <c r="AK925" s="7"/>
      <c r="AL925" s="6"/>
      <c r="AM925" s="6"/>
      <c r="AN925" s="8"/>
      <c r="AO925" s="8"/>
      <c r="AP925" s="8"/>
      <c r="AQ925" s="8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9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</row>
    <row r="926">
      <c r="A926" s="2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5"/>
      <c r="AD926" s="5"/>
      <c r="AE926" s="5"/>
      <c r="AF926" s="5"/>
      <c r="AG926" s="6"/>
      <c r="AH926" s="6"/>
      <c r="AI926" s="6"/>
      <c r="AJ926" s="7"/>
      <c r="AK926" s="7"/>
      <c r="AL926" s="6"/>
      <c r="AM926" s="6"/>
      <c r="AN926" s="8"/>
      <c r="AO926" s="8"/>
      <c r="AP926" s="8"/>
      <c r="AQ926" s="8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9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</row>
    <row r="927">
      <c r="A927" s="2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5"/>
      <c r="AD927" s="5"/>
      <c r="AE927" s="5"/>
      <c r="AF927" s="5"/>
      <c r="AG927" s="6"/>
      <c r="AH927" s="6"/>
      <c r="AI927" s="6"/>
      <c r="AJ927" s="7"/>
      <c r="AK927" s="7"/>
      <c r="AL927" s="6"/>
      <c r="AM927" s="6"/>
      <c r="AN927" s="8"/>
      <c r="AO927" s="8"/>
      <c r="AP927" s="8"/>
      <c r="AQ927" s="8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9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</row>
    <row r="928">
      <c r="A928" s="2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5"/>
      <c r="AD928" s="5"/>
      <c r="AE928" s="5"/>
      <c r="AF928" s="5"/>
      <c r="AG928" s="6"/>
      <c r="AH928" s="6"/>
      <c r="AI928" s="6"/>
      <c r="AJ928" s="7"/>
      <c r="AK928" s="7"/>
      <c r="AL928" s="6"/>
      <c r="AM928" s="6"/>
      <c r="AN928" s="8"/>
      <c r="AO928" s="8"/>
      <c r="AP928" s="8"/>
      <c r="AQ928" s="8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9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</row>
    <row r="929">
      <c r="A929" s="2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5"/>
      <c r="AD929" s="5"/>
      <c r="AE929" s="5"/>
      <c r="AF929" s="5"/>
      <c r="AG929" s="6"/>
      <c r="AH929" s="6"/>
      <c r="AI929" s="6"/>
      <c r="AJ929" s="7"/>
      <c r="AK929" s="7"/>
      <c r="AL929" s="6"/>
      <c r="AM929" s="6"/>
      <c r="AN929" s="8"/>
      <c r="AO929" s="8"/>
      <c r="AP929" s="8"/>
      <c r="AQ929" s="8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9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</row>
    <row r="930">
      <c r="A930" s="2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5"/>
      <c r="AD930" s="5"/>
      <c r="AE930" s="5"/>
      <c r="AF930" s="5"/>
      <c r="AG930" s="6"/>
      <c r="AH930" s="6"/>
      <c r="AI930" s="6"/>
      <c r="AJ930" s="7"/>
      <c r="AK930" s="7"/>
      <c r="AL930" s="6"/>
      <c r="AM930" s="6"/>
      <c r="AN930" s="8"/>
      <c r="AO930" s="8"/>
      <c r="AP930" s="8"/>
      <c r="AQ930" s="8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9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</row>
    <row r="931">
      <c r="A931" s="2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5"/>
      <c r="AD931" s="5"/>
      <c r="AE931" s="5"/>
      <c r="AF931" s="5"/>
      <c r="AG931" s="6"/>
      <c r="AH931" s="6"/>
      <c r="AI931" s="6"/>
      <c r="AJ931" s="7"/>
      <c r="AK931" s="7"/>
      <c r="AL931" s="6"/>
      <c r="AM931" s="6"/>
      <c r="AN931" s="8"/>
      <c r="AO931" s="8"/>
      <c r="AP931" s="8"/>
      <c r="AQ931" s="8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9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</row>
    <row r="932">
      <c r="A932" s="2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5"/>
      <c r="AD932" s="5"/>
      <c r="AE932" s="5"/>
      <c r="AF932" s="5"/>
      <c r="AG932" s="6"/>
      <c r="AH932" s="6"/>
      <c r="AI932" s="6"/>
      <c r="AJ932" s="7"/>
      <c r="AK932" s="7"/>
      <c r="AL932" s="6"/>
      <c r="AM932" s="6"/>
      <c r="AN932" s="8"/>
      <c r="AO932" s="8"/>
      <c r="AP932" s="8"/>
      <c r="AQ932" s="8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9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</row>
    <row r="933">
      <c r="A933" s="2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5"/>
      <c r="AD933" s="5"/>
      <c r="AE933" s="5"/>
      <c r="AF933" s="5"/>
      <c r="AG933" s="6"/>
      <c r="AH933" s="6"/>
      <c r="AI933" s="6"/>
      <c r="AJ933" s="7"/>
      <c r="AK933" s="7"/>
      <c r="AL933" s="6"/>
      <c r="AM933" s="6"/>
      <c r="AN933" s="8"/>
      <c r="AO933" s="8"/>
      <c r="AP933" s="8"/>
      <c r="AQ933" s="8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9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</row>
    <row r="934">
      <c r="A934" s="2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5"/>
      <c r="AD934" s="5"/>
      <c r="AE934" s="5"/>
      <c r="AF934" s="5"/>
      <c r="AG934" s="6"/>
      <c r="AH934" s="6"/>
      <c r="AI934" s="6"/>
      <c r="AJ934" s="7"/>
      <c r="AK934" s="7"/>
      <c r="AL934" s="6"/>
      <c r="AM934" s="6"/>
      <c r="AN934" s="8"/>
      <c r="AO934" s="8"/>
      <c r="AP934" s="8"/>
      <c r="AQ934" s="8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9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</row>
    <row r="935">
      <c r="A935" s="2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5"/>
      <c r="AD935" s="5"/>
      <c r="AE935" s="5"/>
      <c r="AF935" s="5"/>
      <c r="AG935" s="6"/>
      <c r="AH935" s="6"/>
      <c r="AI935" s="6"/>
      <c r="AJ935" s="7"/>
      <c r="AK935" s="7"/>
      <c r="AL935" s="6"/>
      <c r="AM935" s="6"/>
      <c r="AN935" s="8"/>
      <c r="AO935" s="8"/>
      <c r="AP935" s="8"/>
      <c r="AQ935" s="8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9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</row>
    <row r="936">
      <c r="A936" s="2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5"/>
      <c r="AD936" s="5"/>
      <c r="AE936" s="5"/>
      <c r="AF936" s="5"/>
      <c r="AG936" s="6"/>
      <c r="AH936" s="6"/>
      <c r="AI936" s="6"/>
      <c r="AJ936" s="7"/>
      <c r="AK936" s="7"/>
      <c r="AL936" s="6"/>
      <c r="AM936" s="6"/>
      <c r="AN936" s="8"/>
      <c r="AO936" s="8"/>
      <c r="AP936" s="8"/>
      <c r="AQ936" s="8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9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</row>
    <row r="937">
      <c r="A937" s="2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5"/>
      <c r="AD937" s="5"/>
      <c r="AE937" s="5"/>
      <c r="AF937" s="5"/>
      <c r="AG937" s="6"/>
      <c r="AH937" s="6"/>
      <c r="AI937" s="6"/>
      <c r="AJ937" s="7"/>
      <c r="AK937" s="7"/>
      <c r="AL937" s="6"/>
      <c r="AM937" s="6"/>
      <c r="AN937" s="8"/>
      <c r="AO937" s="8"/>
      <c r="AP937" s="8"/>
      <c r="AQ937" s="8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9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</row>
    <row r="938">
      <c r="A938" s="2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5"/>
      <c r="AD938" s="5"/>
      <c r="AE938" s="5"/>
      <c r="AF938" s="5"/>
      <c r="AG938" s="6"/>
      <c r="AH938" s="6"/>
      <c r="AI938" s="6"/>
      <c r="AJ938" s="7"/>
      <c r="AK938" s="7"/>
      <c r="AL938" s="6"/>
      <c r="AM938" s="6"/>
      <c r="AN938" s="8"/>
      <c r="AO938" s="8"/>
      <c r="AP938" s="8"/>
      <c r="AQ938" s="8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9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</row>
    <row r="939">
      <c r="A939" s="2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5"/>
      <c r="AD939" s="5"/>
      <c r="AE939" s="5"/>
      <c r="AF939" s="5"/>
      <c r="AG939" s="6"/>
      <c r="AH939" s="6"/>
      <c r="AI939" s="6"/>
      <c r="AJ939" s="7"/>
      <c r="AK939" s="7"/>
      <c r="AL939" s="6"/>
      <c r="AM939" s="6"/>
      <c r="AN939" s="8"/>
      <c r="AO939" s="8"/>
      <c r="AP939" s="8"/>
      <c r="AQ939" s="8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9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</row>
    <row r="940">
      <c r="A940" s="2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5"/>
      <c r="AD940" s="5"/>
      <c r="AE940" s="5"/>
      <c r="AF940" s="5"/>
      <c r="AG940" s="6"/>
      <c r="AH940" s="6"/>
      <c r="AI940" s="6"/>
      <c r="AJ940" s="7"/>
      <c r="AK940" s="7"/>
      <c r="AL940" s="6"/>
      <c r="AM940" s="6"/>
      <c r="AN940" s="8"/>
      <c r="AO940" s="8"/>
      <c r="AP940" s="8"/>
      <c r="AQ940" s="8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9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</row>
    <row r="941">
      <c r="A941" s="2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5"/>
      <c r="AD941" s="5"/>
      <c r="AE941" s="5"/>
      <c r="AF941" s="5"/>
      <c r="AG941" s="6"/>
      <c r="AH941" s="6"/>
      <c r="AI941" s="6"/>
      <c r="AJ941" s="7"/>
      <c r="AK941" s="7"/>
      <c r="AL941" s="6"/>
      <c r="AM941" s="6"/>
      <c r="AN941" s="8"/>
      <c r="AO941" s="8"/>
      <c r="AP941" s="8"/>
      <c r="AQ941" s="8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9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</row>
    <row r="942">
      <c r="A942" s="2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5"/>
      <c r="AD942" s="5"/>
      <c r="AE942" s="5"/>
      <c r="AF942" s="5"/>
      <c r="AG942" s="6"/>
      <c r="AH942" s="6"/>
      <c r="AI942" s="6"/>
      <c r="AJ942" s="7"/>
      <c r="AK942" s="7"/>
      <c r="AL942" s="6"/>
      <c r="AM942" s="6"/>
      <c r="AN942" s="8"/>
      <c r="AO942" s="8"/>
      <c r="AP942" s="8"/>
      <c r="AQ942" s="8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9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</row>
    <row r="943">
      <c r="A943" s="2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5"/>
      <c r="AD943" s="5"/>
      <c r="AE943" s="5"/>
      <c r="AF943" s="5"/>
      <c r="AG943" s="6"/>
      <c r="AH943" s="6"/>
      <c r="AI943" s="6"/>
      <c r="AJ943" s="7"/>
      <c r="AK943" s="7"/>
      <c r="AL943" s="6"/>
      <c r="AM943" s="6"/>
      <c r="AN943" s="8"/>
      <c r="AO943" s="8"/>
      <c r="AP943" s="8"/>
      <c r="AQ943" s="8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9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</row>
    <row r="944">
      <c r="A944" s="2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5"/>
      <c r="AD944" s="5"/>
      <c r="AE944" s="5"/>
      <c r="AF944" s="5"/>
      <c r="AG944" s="6"/>
      <c r="AH944" s="6"/>
      <c r="AI944" s="6"/>
      <c r="AJ944" s="7"/>
      <c r="AK944" s="7"/>
      <c r="AL944" s="6"/>
      <c r="AM944" s="6"/>
      <c r="AN944" s="8"/>
      <c r="AO944" s="8"/>
      <c r="AP944" s="8"/>
      <c r="AQ944" s="8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9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</row>
    <row r="945">
      <c r="A945" s="2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5"/>
      <c r="AD945" s="5"/>
      <c r="AE945" s="5"/>
      <c r="AF945" s="5"/>
      <c r="AG945" s="6"/>
      <c r="AH945" s="6"/>
      <c r="AI945" s="6"/>
      <c r="AJ945" s="7"/>
      <c r="AK945" s="7"/>
      <c r="AL945" s="6"/>
      <c r="AM945" s="6"/>
      <c r="AN945" s="8"/>
      <c r="AO945" s="8"/>
      <c r="AP945" s="8"/>
      <c r="AQ945" s="8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9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</row>
    <row r="946">
      <c r="A946" s="2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5"/>
      <c r="AD946" s="5"/>
      <c r="AE946" s="5"/>
      <c r="AF946" s="5"/>
      <c r="AG946" s="6"/>
      <c r="AH946" s="6"/>
      <c r="AI946" s="6"/>
      <c r="AJ946" s="7"/>
      <c r="AK946" s="7"/>
      <c r="AL946" s="6"/>
      <c r="AM946" s="6"/>
      <c r="AN946" s="8"/>
      <c r="AO946" s="8"/>
      <c r="AP946" s="8"/>
      <c r="AQ946" s="8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9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</row>
    <row r="947">
      <c r="A947" s="2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5"/>
      <c r="AD947" s="5"/>
      <c r="AE947" s="5"/>
      <c r="AF947" s="5"/>
      <c r="AG947" s="6"/>
      <c r="AH947" s="6"/>
      <c r="AI947" s="6"/>
      <c r="AJ947" s="7"/>
      <c r="AK947" s="7"/>
      <c r="AL947" s="6"/>
      <c r="AM947" s="6"/>
      <c r="AN947" s="8"/>
      <c r="AO947" s="8"/>
      <c r="AP947" s="8"/>
      <c r="AQ947" s="8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9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</row>
    <row r="948">
      <c r="A948" s="2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5"/>
      <c r="AD948" s="5"/>
      <c r="AE948" s="5"/>
      <c r="AF948" s="5"/>
      <c r="AG948" s="6"/>
      <c r="AH948" s="6"/>
      <c r="AI948" s="6"/>
      <c r="AJ948" s="7"/>
      <c r="AK948" s="7"/>
      <c r="AL948" s="6"/>
      <c r="AM948" s="6"/>
      <c r="AN948" s="8"/>
      <c r="AO948" s="8"/>
      <c r="AP948" s="8"/>
      <c r="AQ948" s="8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9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</row>
    <row r="949">
      <c r="A949" s="2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5"/>
      <c r="AD949" s="5"/>
      <c r="AE949" s="5"/>
      <c r="AF949" s="5"/>
      <c r="AG949" s="6"/>
      <c r="AH949" s="6"/>
      <c r="AI949" s="6"/>
      <c r="AJ949" s="7"/>
      <c r="AK949" s="7"/>
      <c r="AL949" s="6"/>
      <c r="AM949" s="6"/>
      <c r="AN949" s="8"/>
      <c r="AO949" s="8"/>
      <c r="AP949" s="8"/>
      <c r="AQ949" s="8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9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</row>
    <row r="950">
      <c r="A950" s="2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5"/>
      <c r="AD950" s="5"/>
      <c r="AE950" s="5"/>
      <c r="AF950" s="5"/>
      <c r="AG950" s="6"/>
      <c r="AH950" s="6"/>
      <c r="AI950" s="6"/>
      <c r="AJ950" s="7"/>
      <c r="AK950" s="7"/>
      <c r="AL950" s="6"/>
      <c r="AM950" s="6"/>
      <c r="AN950" s="8"/>
      <c r="AO950" s="8"/>
      <c r="AP950" s="8"/>
      <c r="AQ950" s="8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9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</row>
    <row r="951">
      <c r="A951" s="2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5"/>
      <c r="AD951" s="5"/>
      <c r="AE951" s="5"/>
      <c r="AF951" s="5"/>
      <c r="AG951" s="6"/>
      <c r="AH951" s="6"/>
      <c r="AI951" s="6"/>
      <c r="AJ951" s="7"/>
      <c r="AK951" s="7"/>
      <c r="AL951" s="6"/>
      <c r="AM951" s="6"/>
      <c r="AN951" s="8"/>
      <c r="AO951" s="8"/>
      <c r="AP951" s="8"/>
      <c r="AQ951" s="8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9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</row>
    <row r="952">
      <c r="A952" s="2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5"/>
      <c r="AD952" s="5"/>
      <c r="AE952" s="5"/>
      <c r="AF952" s="5"/>
      <c r="AG952" s="6"/>
      <c r="AH952" s="6"/>
      <c r="AI952" s="6"/>
      <c r="AJ952" s="7"/>
      <c r="AK952" s="7"/>
      <c r="AL952" s="6"/>
      <c r="AM952" s="6"/>
      <c r="AN952" s="8"/>
      <c r="AO952" s="8"/>
      <c r="AP952" s="8"/>
      <c r="AQ952" s="8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9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</row>
    <row r="953">
      <c r="A953" s="2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5"/>
      <c r="AD953" s="5"/>
      <c r="AE953" s="5"/>
      <c r="AF953" s="5"/>
      <c r="AG953" s="6"/>
      <c r="AH953" s="6"/>
      <c r="AI953" s="6"/>
      <c r="AJ953" s="7"/>
      <c r="AK953" s="7"/>
      <c r="AL953" s="6"/>
      <c r="AM953" s="6"/>
      <c r="AN953" s="8"/>
      <c r="AO953" s="8"/>
      <c r="AP953" s="8"/>
      <c r="AQ953" s="8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9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</row>
    <row r="954">
      <c r="A954" s="2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5"/>
      <c r="AD954" s="5"/>
      <c r="AE954" s="5"/>
      <c r="AF954" s="5"/>
      <c r="AG954" s="6"/>
      <c r="AH954" s="6"/>
      <c r="AI954" s="6"/>
      <c r="AJ954" s="7"/>
      <c r="AK954" s="7"/>
      <c r="AL954" s="6"/>
      <c r="AM954" s="6"/>
      <c r="AN954" s="8"/>
      <c r="AO954" s="8"/>
      <c r="AP954" s="8"/>
      <c r="AQ954" s="8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9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</row>
    <row r="955">
      <c r="A955" s="2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5"/>
      <c r="AD955" s="5"/>
      <c r="AE955" s="5"/>
      <c r="AF955" s="5"/>
      <c r="AG955" s="6"/>
      <c r="AH955" s="6"/>
      <c r="AI955" s="6"/>
      <c r="AJ955" s="7"/>
      <c r="AK955" s="7"/>
      <c r="AL955" s="6"/>
      <c r="AM955" s="6"/>
      <c r="AN955" s="8"/>
      <c r="AO955" s="8"/>
      <c r="AP955" s="8"/>
      <c r="AQ955" s="8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9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</row>
    <row r="956">
      <c r="A956" s="2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5"/>
      <c r="AD956" s="5"/>
      <c r="AE956" s="5"/>
      <c r="AF956" s="5"/>
      <c r="AG956" s="6"/>
      <c r="AH956" s="6"/>
      <c r="AI956" s="6"/>
      <c r="AJ956" s="7"/>
      <c r="AK956" s="7"/>
      <c r="AL956" s="6"/>
      <c r="AM956" s="6"/>
      <c r="AN956" s="8"/>
      <c r="AO956" s="8"/>
      <c r="AP956" s="8"/>
      <c r="AQ956" s="8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9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</row>
    <row r="957">
      <c r="A957" s="2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5"/>
      <c r="AD957" s="5"/>
      <c r="AE957" s="5"/>
      <c r="AF957" s="5"/>
      <c r="AG957" s="6"/>
      <c r="AH957" s="6"/>
      <c r="AI957" s="6"/>
      <c r="AJ957" s="7"/>
      <c r="AK957" s="7"/>
      <c r="AL957" s="6"/>
      <c r="AM957" s="6"/>
      <c r="AN957" s="8"/>
      <c r="AO957" s="8"/>
      <c r="AP957" s="8"/>
      <c r="AQ957" s="8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9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</row>
    <row r="958">
      <c r="A958" s="2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5"/>
      <c r="AD958" s="5"/>
      <c r="AE958" s="5"/>
      <c r="AF958" s="5"/>
      <c r="AG958" s="6"/>
      <c r="AH958" s="6"/>
      <c r="AI958" s="6"/>
      <c r="AJ958" s="7"/>
      <c r="AK958" s="7"/>
      <c r="AL958" s="6"/>
      <c r="AM958" s="6"/>
      <c r="AN958" s="8"/>
      <c r="AO958" s="8"/>
      <c r="AP958" s="8"/>
      <c r="AQ958" s="8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9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</row>
    <row r="959">
      <c r="A959" s="2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5"/>
      <c r="AD959" s="5"/>
      <c r="AE959" s="5"/>
      <c r="AF959" s="5"/>
      <c r="AG959" s="6"/>
      <c r="AH959" s="6"/>
      <c r="AI959" s="6"/>
      <c r="AJ959" s="7"/>
      <c r="AK959" s="7"/>
      <c r="AL959" s="6"/>
      <c r="AM959" s="6"/>
      <c r="AN959" s="8"/>
      <c r="AO959" s="8"/>
      <c r="AP959" s="8"/>
      <c r="AQ959" s="8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9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</row>
    <row r="960">
      <c r="A960" s="2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5"/>
      <c r="AD960" s="5"/>
      <c r="AE960" s="5"/>
      <c r="AF960" s="5"/>
      <c r="AG960" s="6"/>
      <c r="AH960" s="6"/>
      <c r="AI960" s="6"/>
      <c r="AJ960" s="7"/>
      <c r="AK960" s="7"/>
      <c r="AL960" s="6"/>
      <c r="AM960" s="6"/>
      <c r="AN960" s="8"/>
      <c r="AO960" s="8"/>
      <c r="AP960" s="8"/>
      <c r="AQ960" s="8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9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</row>
    <row r="961">
      <c r="A961" s="2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5"/>
      <c r="AD961" s="5"/>
      <c r="AE961" s="5"/>
      <c r="AF961" s="5"/>
      <c r="AG961" s="6"/>
      <c r="AH961" s="6"/>
      <c r="AI961" s="6"/>
      <c r="AJ961" s="7"/>
      <c r="AK961" s="7"/>
      <c r="AL961" s="6"/>
      <c r="AM961" s="6"/>
      <c r="AN961" s="8"/>
      <c r="AO961" s="8"/>
      <c r="AP961" s="8"/>
      <c r="AQ961" s="8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9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</row>
    <row r="962">
      <c r="A962" s="2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5"/>
      <c r="AD962" s="5"/>
      <c r="AE962" s="5"/>
      <c r="AF962" s="5"/>
      <c r="AG962" s="6"/>
      <c r="AH962" s="6"/>
      <c r="AI962" s="6"/>
      <c r="AJ962" s="7"/>
      <c r="AK962" s="7"/>
      <c r="AL962" s="6"/>
      <c r="AM962" s="6"/>
      <c r="AN962" s="8"/>
      <c r="AO962" s="8"/>
      <c r="AP962" s="8"/>
      <c r="AQ962" s="8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9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</row>
    <row r="963">
      <c r="A963" s="2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5"/>
      <c r="AD963" s="5"/>
      <c r="AE963" s="5"/>
      <c r="AF963" s="5"/>
      <c r="AG963" s="6"/>
      <c r="AH963" s="6"/>
      <c r="AI963" s="6"/>
      <c r="AJ963" s="7"/>
      <c r="AK963" s="7"/>
      <c r="AL963" s="6"/>
      <c r="AM963" s="6"/>
      <c r="AN963" s="8"/>
      <c r="AO963" s="8"/>
      <c r="AP963" s="8"/>
      <c r="AQ963" s="8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9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</row>
    <row r="964">
      <c r="A964" s="2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5"/>
      <c r="AD964" s="5"/>
      <c r="AE964" s="5"/>
      <c r="AF964" s="5"/>
      <c r="AG964" s="6"/>
      <c r="AH964" s="6"/>
      <c r="AI964" s="6"/>
      <c r="AJ964" s="7"/>
      <c r="AK964" s="7"/>
      <c r="AL964" s="6"/>
      <c r="AM964" s="6"/>
      <c r="AN964" s="8"/>
      <c r="AO964" s="8"/>
      <c r="AP964" s="8"/>
      <c r="AQ964" s="8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9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</row>
    <row r="965">
      <c r="A965" s="2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5"/>
      <c r="AD965" s="5"/>
      <c r="AE965" s="5"/>
      <c r="AF965" s="5"/>
      <c r="AG965" s="6"/>
      <c r="AH965" s="6"/>
      <c r="AI965" s="6"/>
      <c r="AJ965" s="7"/>
      <c r="AK965" s="7"/>
      <c r="AL965" s="6"/>
      <c r="AM965" s="6"/>
      <c r="AN965" s="8"/>
      <c r="AO965" s="8"/>
      <c r="AP965" s="8"/>
      <c r="AQ965" s="8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9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</row>
    <row r="966">
      <c r="A966" s="2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5"/>
      <c r="AD966" s="5"/>
      <c r="AE966" s="5"/>
      <c r="AF966" s="5"/>
      <c r="AG966" s="6"/>
      <c r="AH966" s="6"/>
      <c r="AI966" s="6"/>
      <c r="AJ966" s="7"/>
      <c r="AK966" s="7"/>
      <c r="AL966" s="6"/>
      <c r="AM966" s="6"/>
      <c r="AN966" s="8"/>
      <c r="AO966" s="8"/>
      <c r="AP966" s="8"/>
      <c r="AQ966" s="8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9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</row>
    <row r="967">
      <c r="A967" s="2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5"/>
      <c r="AD967" s="5"/>
      <c r="AE967" s="5"/>
      <c r="AF967" s="5"/>
      <c r="AG967" s="6"/>
      <c r="AH967" s="6"/>
      <c r="AI967" s="6"/>
      <c r="AJ967" s="7"/>
      <c r="AK967" s="7"/>
      <c r="AL967" s="6"/>
      <c r="AM967" s="6"/>
      <c r="AN967" s="8"/>
      <c r="AO967" s="8"/>
      <c r="AP967" s="8"/>
      <c r="AQ967" s="8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9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</row>
    <row r="968">
      <c r="A968" s="2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5"/>
      <c r="AD968" s="5"/>
      <c r="AE968" s="5"/>
      <c r="AF968" s="5"/>
      <c r="AG968" s="6"/>
      <c r="AH968" s="6"/>
      <c r="AI968" s="6"/>
      <c r="AJ968" s="7"/>
      <c r="AK968" s="7"/>
      <c r="AL968" s="6"/>
      <c r="AM968" s="6"/>
      <c r="AN968" s="8"/>
      <c r="AO968" s="8"/>
      <c r="AP968" s="8"/>
      <c r="AQ968" s="8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9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</row>
    <row r="969">
      <c r="A969" s="2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5"/>
      <c r="AD969" s="5"/>
      <c r="AE969" s="5"/>
      <c r="AF969" s="5"/>
      <c r="AG969" s="6"/>
      <c r="AH969" s="6"/>
      <c r="AI969" s="6"/>
      <c r="AJ969" s="7"/>
      <c r="AK969" s="7"/>
      <c r="AL969" s="6"/>
      <c r="AM969" s="6"/>
      <c r="AN969" s="8"/>
      <c r="AO969" s="8"/>
      <c r="AP969" s="8"/>
      <c r="AQ969" s="8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9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</row>
    <row r="970">
      <c r="A970" s="2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5"/>
      <c r="AD970" s="5"/>
      <c r="AE970" s="5"/>
      <c r="AF970" s="5"/>
      <c r="AG970" s="6"/>
      <c r="AH970" s="6"/>
      <c r="AI970" s="6"/>
      <c r="AJ970" s="7"/>
      <c r="AK970" s="7"/>
      <c r="AL970" s="6"/>
      <c r="AM970" s="6"/>
      <c r="AN970" s="8"/>
      <c r="AO970" s="8"/>
      <c r="AP970" s="8"/>
      <c r="AQ970" s="8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9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</row>
    <row r="971">
      <c r="A971" s="2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5"/>
      <c r="AD971" s="5"/>
      <c r="AE971" s="5"/>
      <c r="AF971" s="5"/>
      <c r="AG971" s="6"/>
      <c r="AH971" s="6"/>
      <c r="AI971" s="6"/>
      <c r="AJ971" s="7"/>
      <c r="AK971" s="7"/>
      <c r="AL971" s="6"/>
      <c r="AM971" s="6"/>
      <c r="AN971" s="8"/>
      <c r="AO971" s="8"/>
      <c r="AP971" s="8"/>
      <c r="AQ971" s="8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9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</row>
    <row r="972">
      <c r="A972" s="2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5"/>
      <c r="AD972" s="5"/>
      <c r="AE972" s="5"/>
      <c r="AF972" s="5"/>
      <c r="AG972" s="6"/>
      <c r="AH972" s="6"/>
      <c r="AI972" s="6"/>
      <c r="AJ972" s="7"/>
      <c r="AK972" s="7"/>
      <c r="AL972" s="6"/>
      <c r="AM972" s="6"/>
      <c r="AN972" s="8"/>
      <c r="AO972" s="8"/>
      <c r="AP972" s="8"/>
      <c r="AQ972" s="8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9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</row>
    <row r="973">
      <c r="A973" s="2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5"/>
      <c r="AD973" s="5"/>
      <c r="AE973" s="5"/>
      <c r="AF973" s="5"/>
      <c r="AG973" s="6"/>
      <c r="AH973" s="6"/>
      <c r="AI973" s="6"/>
      <c r="AJ973" s="7"/>
      <c r="AK973" s="7"/>
      <c r="AL973" s="6"/>
      <c r="AM973" s="6"/>
      <c r="AN973" s="8"/>
      <c r="AO973" s="8"/>
      <c r="AP973" s="8"/>
      <c r="AQ973" s="8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9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</row>
    <row r="974">
      <c r="A974" s="2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5"/>
      <c r="AD974" s="5"/>
      <c r="AE974" s="5"/>
      <c r="AF974" s="5"/>
      <c r="AG974" s="6"/>
      <c r="AH974" s="6"/>
      <c r="AI974" s="6"/>
      <c r="AJ974" s="7"/>
      <c r="AK974" s="7"/>
      <c r="AL974" s="6"/>
      <c r="AM974" s="6"/>
      <c r="AN974" s="8"/>
      <c r="AO974" s="8"/>
      <c r="AP974" s="8"/>
      <c r="AQ974" s="8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9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</row>
    <row r="975">
      <c r="A975" s="2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5"/>
      <c r="AD975" s="5"/>
      <c r="AE975" s="5"/>
      <c r="AF975" s="5"/>
      <c r="AG975" s="6"/>
      <c r="AH975" s="6"/>
      <c r="AI975" s="6"/>
      <c r="AJ975" s="7"/>
      <c r="AK975" s="7"/>
      <c r="AL975" s="6"/>
      <c r="AM975" s="6"/>
      <c r="AN975" s="8"/>
      <c r="AO975" s="8"/>
      <c r="AP975" s="8"/>
      <c r="AQ975" s="8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9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</row>
    <row r="976">
      <c r="A976" s="2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5"/>
      <c r="AD976" s="5"/>
      <c r="AE976" s="5"/>
      <c r="AF976" s="5"/>
      <c r="AG976" s="6"/>
      <c r="AH976" s="6"/>
      <c r="AI976" s="6"/>
      <c r="AJ976" s="7"/>
      <c r="AK976" s="7"/>
      <c r="AL976" s="6"/>
      <c r="AM976" s="6"/>
      <c r="AN976" s="8"/>
      <c r="AO976" s="8"/>
      <c r="AP976" s="8"/>
      <c r="AQ976" s="8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9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</row>
    <row r="977">
      <c r="A977" s="2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5"/>
      <c r="AD977" s="5"/>
      <c r="AE977" s="5"/>
      <c r="AF977" s="5"/>
      <c r="AG977" s="6"/>
      <c r="AH977" s="6"/>
      <c r="AI977" s="6"/>
      <c r="AJ977" s="7"/>
      <c r="AK977" s="7"/>
      <c r="AL977" s="6"/>
      <c r="AM977" s="6"/>
      <c r="AN977" s="8"/>
      <c r="AO977" s="8"/>
      <c r="AP977" s="8"/>
      <c r="AQ977" s="8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9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</row>
    <row r="978">
      <c r="A978" s="2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5"/>
      <c r="AD978" s="5"/>
      <c r="AE978" s="5"/>
      <c r="AF978" s="5"/>
      <c r="AG978" s="6"/>
      <c r="AH978" s="6"/>
      <c r="AI978" s="6"/>
      <c r="AJ978" s="7"/>
      <c r="AK978" s="7"/>
      <c r="AL978" s="6"/>
      <c r="AM978" s="6"/>
      <c r="AN978" s="8"/>
      <c r="AO978" s="8"/>
      <c r="AP978" s="8"/>
      <c r="AQ978" s="8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9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</row>
    <row r="979">
      <c r="A979" s="2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5"/>
      <c r="AD979" s="5"/>
      <c r="AE979" s="5"/>
      <c r="AF979" s="5"/>
      <c r="AG979" s="6"/>
      <c r="AH979" s="6"/>
      <c r="AI979" s="6"/>
      <c r="AJ979" s="7"/>
      <c r="AK979" s="7"/>
      <c r="AL979" s="6"/>
      <c r="AM979" s="6"/>
      <c r="AN979" s="8"/>
      <c r="AO979" s="8"/>
      <c r="AP979" s="8"/>
      <c r="AQ979" s="8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9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</row>
    <row r="980">
      <c r="A980" s="2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5"/>
      <c r="AD980" s="5"/>
      <c r="AE980" s="5"/>
      <c r="AF980" s="5"/>
      <c r="AG980" s="6"/>
      <c r="AH980" s="6"/>
      <c r="AI980" s="6"/>
      <c r="AJ980" s="7"/>
      <c r="AK980" s="7"/>
      <c r="AL980" s="6"/>
      <c r="AM980" s="6"/>
      <c r="AN980" s="8"/>
      <c r="AO980" s="8"/>
      <c r="AP980" s="8"/>
      <c r="AQ980" s="8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9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</row>
    <row r="981">
      <c r="A981" s="2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5"/>
      <c r="AD981" s="5"/>
      <c r="AE981" s="5"/>
      <c r="AF981" s="5"/>
      <c r="AG981" s="6"/>
      <c r="AH981" s="6"/>
      <c r="AI981" s="6"/>
      <c r="AJ981" s="7"/>
      <c r="AK981" s="7"/>
      <c r="AL981" s="6"/>
      <c r="AM981" s="6"/>
      <c r="AN981" s="8"/>
      <c r="AO981" s="8"/>
      <c r="AP981" s="8"/>
      <c r="AQ981" s="8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9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</row>
    <row r="982">
      <c r="A982" s="2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5"/>
      <c r="AD982" s="5"/>
      <c r="AE982" s="5"/>
      <c r="AF982" s="5"/>
      <c r="AG982" s="6"/>
      <c r="AH982" s="6"/>
      <c r="AI982" s="6"/>
      <c r="AJ982" s="7"/>
      <c r="AK982" s="7"/>
      <c r="AL982" s="6"/>
      <c r="AM982" s="6"/>
      <c r="AN982" s="8"/>
      <c r="AO982" s="8"/>
      <c r="AP982" s="8"/>
      <c r="AQ982" s="8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9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</row>
    <row r="983">
      <c r="A983" s="2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5"/>
      <c r="AD983" s="5"/>
      <c r="AE983" s="5"/>
      <c r="AF983" s="5"/>
      <c r="AG983" s="6"/>
      <c r="AH983" s="6"/>
      <c r="AI983" s="6"/>
      <c r="AJ983" s="7"/>
      <c r="AK983" s="7"/>
      <c r="AL983" s="6"/>
      <c r="AM983" s="6"/>
      <c r="AN983" s="8"/>
      <c r="AO983" s="8"/>
      <c r="AP983" s="8"/>
      <c r="AQ983" s="8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9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</row>
    <row r="984">
      <c r="A984" s="2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5"/>
      <c r="AD984" s="5"/>
      <c r="AE984" s="5"/>
      <c r="AF984" s="5"/>
      <c r="AG984" s="6"/>
      <c r="AH984" s="6"/>
      <c r="AI984" s="6"/>
      <c r="AJ984" s="7"/>
      <c r="AK984" s="7"/>
      <c r="AL984" s="6"/>
      <c r="AM984" s="6"/>
      <c r="AN984" s="8"/>
      <c r="AO984" s="8"/>
      <c r="AP984" s="8"/>
      <c r="AQ984" s="8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9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</row>
    <row r="985">
      <c r="A985" s="2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5"/>
      <c r="AD985" s="5"/>
      <c r="AE985" s="5"/>
      <c r="AF985" s="5"/>
      <c r="AG985" s="6"/>
      <c r="AH985" s="6"/>
      <c r="AI985" s="6"/>
      <c r="AJ985" s="7"/>
      <c r="AK985" s="7"/>
      <c r="AL985" s="6"/>
      <c r="AM985" s="6"/>
      <c r="AN985" s="8"/>
      <c r="AO985" s="8"/>
      <c r="AP985" s="8"/>
      <c r="AQ985" s="8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9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</row>
    <row r="986">
      <c r="A986" s="2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5"/>
      <c r="AD986" s="5"/>
      <c r="AE986" s="5"/>
      <c r="AF986" s="5"/>
      <c r="AG986" s="6"/>
      <c r="AH986" s="6"/>
      <c r="AI986" s="6"/>
      <c r="AJ986" s="7"/>
      <c r="AK986" s="7"/>
      <c r="AL986" s="6"/>
      <c r="AM986" s="6"/>
      <c r="AN986" s="8"/>
      <c r="AO986" s="8"/>
      <c r="AP986" s="8"/>
      <c r="AQ986" s="8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9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</row>
    <row r="987">
      <c r="A987" s="2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5"/>
      <c r="AD987" s="5"/>
      <c r="AE987" s="5"/>
      <c r="AF987" s="5"/>
      <c r="AG987" s="6"/>
      <c r="AH987" s="6"/>
      <c r="AI987" s="6"/>
      <c r="AJ987" s="7"/>
      <c r="AK987" s="7"/>
      <c r="AL987" s="6"/>
      <c r="AM987" s="6"/>
      <c r="AN987" s="8"/>
      <c r="AO987" s="8"/>
      <c r="AP987" s="8"/>
      <c r="AQ987" s="8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9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</row>
    <row r="988">
      <c r="A988" s="2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5"/>
      <c r="AD988" s="5"/>
      <c r="AE988" s="5"/>
      <c r="AF988" s="5"/>
      <c r="AG988" s="6"/>
      <c r="AH988" s="6"/>
      <c r="AI988" s="6"/>
      <c r="AJ988" s="7"/>
      <c r="AK988" s="7"/>
      <c r="AL988" s="6"/>
      <c r="AM988" s="6"/>
      <c r="AN988" s="8"/>
      <c r="AO988" s="8"/>
      <c r="AP988" s="8"/>
      <c r="AQ988" s="8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9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</row>
    <row r="989">
      <c r="A989" s="2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5"/>
      <c r="AD989" s="5"/>
      <c r="AE989" s="5"/>
      <c r="AF989" s="5"/>
      <c r="AG989" s="6"/>
      <c r="AH989" s="6"/>
      <c r="AI989" s="6"/>
      <c r="AJ989" s="7"/>
      <c r="AK989" s="7"/>
      <c r="AL989" s="6"/>
      <c r="AM989" s="6"/>
      <c r="AN989" s="8"/>
      <c r="AO989" s="8"/>
      <c r="AP989" s="8"/>
      <c r="AQ989" s="8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9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</row>
    <row r="990">
      <c r="A990" s="2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5"/>
      <c r="AD990" s="5"/>
      <c r="AE990" s="5"/>
      <c r="AF990" s="5"/>
      <c r="AG990" s="6"/>
      <c r="AH990" s="6"/>
      <c r="AI990" s="6"/>
      <c r="AJ990" s="7"/>
      <c r="AK990" s="7"/>
      <c r="AL990" s="6"/>
      <c r="AM990" s="6"/>
      <c r="AN990" s="8"/>
      <c r="AO990" s="8"/>
      <c r="AP990" s="8"/>
      <c r="AQ990" s="8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9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</row>
    <row r="991">
      <c r="A991" s="2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5"/>
      <c r="AD991" s="5"/>
      <c r="AE991" s="5"/>
      <c r="AF991" s="5"/>
      <c r="AG991" s="6"/>
      <c r="AH991" s="6"/>
      <c r="AI991" s="6"/>
      <c r="AJ991" s="7"/>
      <c r="AK991" s="7"/>
      <c r="AL991" s="6"/>
      <c r="AM991" s="6"/>
      <c r="AN991" s="8"/>
      <c r="AO991" s="8"/>
      <c r="AP991" s="8"/>
      <c r="AQ991" s="8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9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</row>
    <row r="992">
      <c r="A992" s="2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5"/>
      <c r="AD992" s="5"/>
      <c r="AE992" s="5"/>
      <c r="AF992" s="5"/>
      <c r="AG992" s="6"/>
      <c r="AH992" s="6"/>
      <c r="AI992" s="6"/>
      <c r="AJ992" s="7"/>
      <c r="AK992" s="7"/>
      <c r="AL992" s="6"/>
      <c r="AM992" s="6"/>
      <c r="AN992" s="8"/>
      <c r="AO992" s="8"/>
      <c r="AP992" s="8"/>
      <c r="AQ992" s="8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9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</row>
    <row r="993">
      <c r="A993" s="2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5"/>
      <c r="AD993" s="5"/>
      <c r="AE993" s="5"/>
      <c r="AF993" s="5"/>
      <c r="AG993" s="6"/>
      <c r="AH993" s="6"/>
      <c r="AI993" s="6"/>
      <c r="AJ993" s="7"/>
      <c r="AK993" s="7"/>
      <c r="AL993" s="6"/>
      <c r="AM993" s="6"/>
      <c r="AN993" s="8"/>
      <c r="AO993" s="8"/>
      <c r="AP993" s="8"/>
      <c r="AQ993" s="8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9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</row>
    <row r="994">
      <c r="A994" s="2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5"/>
      <c r="AD994" s="5"/>
      <c r="AE994" s="5"/>
      <c r="AF994" s="5"/>
      <c r="AG994" s="6"/>
      <c r="AH994" s="6"/>
      <c r="AI994" s="6"/>
      <c r="AJ994" s="7"/>
      <c r="AK994" s="7"/>
      <c r="AL994" s="6"/>
      <c r="AM994" s="6"/>
      <c r="AN994" s="8"/>
      <c r="AO994" s="8"/>
      <c r="AP994" s="8"/>
      <c r="AQ994" s="8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9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</row>
    <row r="995">
      <c r="A995" s="2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5"/>
      <c r="AD995" s="5"/>
      <c r="AE995" s="5"/>
      <c r="AF995" s="5"/>
      <c r="AG995" s="6"/>
      <c r="AH995" s="6"/>
      <c r="AI995" s="6"/>
      <c r="AJ995" s="7"/>
      <c r="AK995" s="7"/>
      <c r="AL995" s="6"/>
      <c r="AM995" s="6"/>
      <c r="AN995" s="8"/>
      <c r="AO995" s="8"/>
      <c r="AP995" s="8"/>
      <c r="AQ995" s="8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9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</row>
    <row r="996">
      <c r="A996" s="2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5"/>
      <c r="AD996" s="5"/>
      <c r="AE996" s="5"/>
      <c r="AF996" s="5"/>
      <c r="AG996" s="6"/>
      <c r="AH996" s="6"/>
      <c r="AI996" s="6"/>
      <c r="AJ996" s="7"/>
      <c r="AK996" s="7"/>
      <c r="AL996" s="6"/>
      <c r="AM996" s="6"/>
      <c r="AN996" s="8"/>
      <c r="AO996" s="8"/>
      <c r="AP996" s="8"/>
      <c r="AQ996" s="8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9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</row>
    <row r="997">
      <c r="A997" s="2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5"/>
      <c r="AD997" s="5"/>
      <c r="AE997" s="5"/>
      <c r="AF997" s="5"/>
      <c r="AG997" s="6"/>
      <c r="AH997" s="6"/>
      <c r="AI997" s="6"/>
      <c r="AJ997" s="7"/>
      <c r="AK997" s="7"/>
      <c r="AL997" s="6"/>
      <c r="AM997" s="6"/>
      <c r="AN997" s="8"/>
      <c r="AO997" s="8"/>
      <c r="AP997" s="8"/>
      <c r="AQ997" s="8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9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</row>
    <row r="998">
      <c r="A998" s="2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5"/>
      <c r="AD998" s="5"/>
      <c r="AE998" s="5"/>
      <c r="AF998" s="5"/>
      <c r="AG998" s="6"/>
      <c r="AH998" s="6"/>
      <c r="AI998" s="6"/>
      <c r="AJ998" s="7"/>
      <c r="AK998" s="7"/>
      <c r="AL998" s="6"/>
      <c r="AM998" s="6"/>
      <c r="AN998" s="8"/>
      <c r="AO998" s="8"/>
      <c r="AP998" s="8"/>
      <c r="AQ998" s="8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9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</row>
    <row r="999">
      <c r="A999" s="2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5"/>
      <c r="AD999" s="5"/>
      <c r="AE999" s="5"/>
      <c r="AF999" s="5"/>
      <c r="AG999" s="6"/>
      <c r="AH999" s="6"/>
      <c r="AI999" s="6"/>
      <c r="AJ999" s="7"/>
      <c r="AK999" s="7"/>
      <c r="AL999" s="6"/>
      <c r="AM999" s="6"/>
      <c r="AN999" s="8"/>
      <c r="AO999" s="8"/>
      <c r="AP999" s="8"/>
      <c r="AQ999" s="8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9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</row>
    <row r="1000">
      <c r="A1000" s="2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5"/>
      <c r="AD1000" s="5"/>
      <c r="AE1000" s="5"/>
      <c r="AF1000" s="5"/>
      <c r="AG1000" s="6"/>
      <c r="AH1000" s="6"/>
      <c r="AI1000" s="6"/>
      <c r="AJ1000" s="7"/>
      <c r="AK1000" s="7"/>
      <c r="AL1000" s="6"/>
      <c r="AM1000" s="6"/>
      <c r="AN1000" s="8"/>
      <c r="AO1000" s="8"/>
      <c r="AP1000" s="8"/>
      <c r="AQ1000" s="8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9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</row>
  </sheetData>
  <mergeCells count="5">
    <mergeCell ref="AR2:BP2"/>
    <mergeCell ref="I4:K4"/>
    <mergeCell ref="L4:R4"/>
    <mergeCell ref="S4:X4"/>
    <mergeCell ref="BM4:BO4"/>
  </mergeCells>
  <hyperlinks>
    <hyperlink r:id="rId1" ref="G26"/>
    <hyperlink r:id="rId2" ref="BY26"/>
  </hyperlinks>
  <printOptions/>
  <pageMargins bottom="0.75" footer="0.0" header="0.0" left="0.25" right="0.25" top="0.75"/>
  <pageSetup paperSize="9" scale="60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4.57"/>
    <col customWidth="1" min="3" max="3" width="13.57"/>
    <col customWidth="1" min="4" max="4" width="14.57"/>
    <col customWidth="1" min="5" max="26" width="12.71"/>
  </cols>
  <sheetData>
    <row r="1" ht="15.7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5.75" customHeight="1">
      <c r="A2" s="93" t="s">
        <v>492</v>
      </c>
      <c r="B2" s="94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5.75" customHeight="1">
      <c r="A3" s="95" t="s">
        <v>493</v>
      </c>
      <c r="B3" s="96">
        <v>2.451E8</v>
      </c>
      <c r="C3" s="97"/>
      <c r="D3" s="97"/>
      <c r="E3" s="97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5.75" customHeight="1">
      <c r="A4" s="98" t="s">
        <v>494</v>
      </c>
      <c r="B4" s="96">
        <v>2.0E7</v>
      </c>
      <c r="C4" s="99"/>
      <c r="D4" s="99"/>
      <c r="E4" s="99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5.75" customHeight="1">
      <c r="A5" s="98"/>
      <c r="B5" s="96"/>
      <c r="C5" s="99"/>
      <c r="D5" s="99"/>
      <c r="E5" s="99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5.75" customHeight="1">
      <c r="A6" s="100" t="s">
        <v>495</v>
      </c>
      <c r="B6" s="101">
        <f>B3-B4</f>
        <v>225100000</v>
      </c>
      <c r="C6" s="99"/>
      <c r="D6" s="99"/>
      <c r="E6" s="99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5.75" customHeight="1">
      <c r="A7" s="100" t="s">
        <v>496</v>
      </c>
      <c r="B7" s="101">
        <f>B6*3%</f>
        <v>6753000</v>
      </c>
      <c r="C7" s="99"/>
      <c r="D7" s="99"/>
      <c r="E7" s="99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5.75" customHeight="1">
      <c r="A8" s="98"/>
      <c r="B8" s="102"/>
      <c r="C8" s="99"/>
      <c r="D8" s="99"/>
      <c r="E8" s="99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5.75" customHeight="1">
      <c r="A9" s="103"/>
      <c r="B9" s="104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5.75" customHeight="1">
      <c r="A10" s="9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5.75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5.75" customHeight="1">
      <c r="A12" s="105" t="s">
        <v>497</v>
      </c>
      <c r="B12" s="94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5.75" customHeight="1">
      <c r="A13" s="106"/>
      <c r="B13" s="107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5.75" customHeight="1">
      <c r="A14" s="95" t="s">
        <v>493</v>
      </c>
      <c r="B14" s="96">
        <v>2.451E8</v>
      </c>
      <c r="C14" s="97"/>
      <c r="D14" s="92"/>
      <c r="E14" s="97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5.75" customHeight="1">
      <c r="A15" s="98" t="s">
        <v>238</v>
      </c>
      <c r="B15" s="96">
        <f>B14*11%</f>
        <v>26961000</v>
      </c>
      <c r="C15" s="97"/>
      <c r="D15" s="97"/>
      <c r="E15" s="97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5.75" customHeight="1">
      <c r="A16" s="98" t="s">
        <v>494</v>
      </c>
      <c r="B16" s="96">
        <v>2.0E7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5.75" customHeight="1">
      <c r="A17" s="98"/>
      <c r="B17" s="96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5.75" customHeight="1">
      <c r="A18" s="100" t="s">
        <v>498</v>
      </c>
      <c r="B18" s="101">
        <f>B14-B16-B15</f>
        <v>198139000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5.75" customHeight="1">
      <c r="A19" s="100" t="s">
        <v>496</v>
      </c>
      <c r="B19" s="101">
        <f>B18*3%</f>
        <v>5944170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5.75" customHeight="1">
      <c r="A20" s="106"/>
      <c r="B20" s="107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5.75" customHeight="1">
      <c r="A21" s="103"/>
      <c r="B21" s="104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5.7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5.7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5.7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5.7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5.7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5.7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5.7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5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5.7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printOptions/>
  <pageMargins bottom="0.75" footer="0.0" header="0.0" left="0.7" right="0.7" top="0.75"/>
  <pageSetup paperSize="9" orientation="portrait"/>
  <drawing r:id="rId1"/>
</worksheet>
</file>